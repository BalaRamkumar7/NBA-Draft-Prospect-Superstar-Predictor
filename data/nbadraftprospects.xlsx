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sqv24003_uconn_edu/Documents/"/>
    </mc:Choice>
  </mc:AlternateContent>
  <xr:revisionPtr revIDLastSave="110" documentId="8_{E905288F-5385-48C8-B42E-ECE8A9872797}" xr6:coauthVersionLast="47" xr6:coauthVersionMax="47" xr10:uidLastSave="{4A0B0C0F-5266-46D8-9621-131AE5DCAC0E}"/>
  <bookViews>
    <workbookView xWindow="-28920" yWindow="-765" windowWidth="29040" windowHeight="17520" xr2:uid="{BAA0C751-A8E3-41BA-BC1E-4D9D93F75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" l="1"/>
  <c r="AH3" i="1"/>
  <c r="AH4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2" i="1"/>
  <c r="M2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3" i="1"/>
  <c r="O4" i="1"/>
  <c r="O5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</calcChain>
</file>

<file path=xl/sharedStrings.xml><?xml version="1.0" encoding="utf-8"?>
<sst xmlns="http://schemas.openxmlformats.org/spreadsheetml/2006/main" count="634" uniqueCount="321">
  <si>
    <t>Player</t>
  </si>
  <si>
    <t>Team</t>
  </si>
  <si>
    <t>Conf</t>
  </si>
  <si>
    <t>G</t>
  </si>
  <si>
    <t>Min%</t>
  </si>
  <si>
    <t>PRPG!</t>
  </si>
  <si>
    <t>D-PRPG</t>
  </si>
  <si>
    <t>BPM</t>
  </si>
  <si>
    <t>OBPM</t>
  </si>
  <si>
    <t>DBPM</t>
  </si>
  <si>
    <t>ORtg</t>
  </si>
  <si>
    <t>FTR</t>
  </si>
  <si>
    <t>FC/40</t>
  </si>
  <si>
    <t>3P/100</t>
  </si>
  <si>
    <t>Fr</t>
  </si>
  <si>
    <t>Cameron Boozer</t>
  </si>
  <si>
    <t>Duke</t>
  </si>
  <si>
    <t>ACC</t>
  </si>
  <si>
    <t>Keaton Wagler</t>
  </si>
  <si>
    <t>Illinois</t>
  </si>
  <si>
    <t>B10</t>
  </si>
  <si>
    <t>Sr</t>
  </si>
  <si>
    <t>Bruce Thornton</t>
  </si>
  <si>
    <t>Ohio St.</t>
  </si>
  <si>
    <t>So</t>
  </si>
  <si>
    <t>Christian Anderson</t>
  </si>
  <si>
    <t>Texas Tech</t>
  </si>
  <si>
    <t>B12</t>
  </si>
  <si>
    <t>Keyshawn Hall</t>
  </si>
  <si>
    <t>Auburn</t>
  </si>
  <si>
    <t>SEC</t>
  </si>
  <si>
    <t>Nick Martinelli</t>
  </si>
  <si>
    <t>Northwestern</t>
  </si>
  <si>
    <t>Bennett Stirtz</t>
  </si>
  <si>
    <t>Iowa</t>
  </si>
  <si>
    <t>AJ Dybantsa</t>
  </si>
  <si>
    <t>BYU</t>
  </si>
  <si>
    <t>Darius Acuff Jr.</t>
  </si>
  <si>
    <t>Arkansas</t>
  </si>
  <si>
    <t>Braden Smith</t>
  </si>
  <si>
    <t>Purdue</t>
  </si>
  <si>
    <t>Jr</t>
  </si>
  <si>
    <t>Jeremy Fears Jr.</t>
  </si>
  <si>
    <t>Michigan St.</t>
  </si>
  <si>
    <t>Richie Saunders</t>
  </si>
  <si>
    <t>Boopie Miller</t>
  </si>
  <si>
    <t>SMU</t>
  </si>
  <si>
    <t>Milan Momcilovic</t>
  </si>
  <si>
    <t>Iowa St.</t>
  </si>
  <si>
    <t>Oscar Cluff</t>
  </si>
  <si>
    <t>Ebuka Okorie</t>
  </si>
  <si>
    <t>Stanford</t>
  </si>
  <si>
    <t>Caleb Wilson</t>
  </si>
  <si>
    <t>North Carolina</t>
  </si>
  <si>
    <t>Kingston Flemings</t>
  </si>
  <si>
    <t>Houston</t>
  </si>
  <si>
    <t>Labaron Philon</t>
  </si>
  <si>
    <t>Alabama</t>
  </si>
  <si>
    <t>Yaxel Lendeborg</t>
  </si>
  <si>
    <t>Michigan</t>
  </si>
  <si>
    <t>Tavari Johnson</t>
  </si>
  <si>
    <t>Akron</t>
  </si>
  <si>
    <t>MAC</t>
  </si>
  <si>
    <t>Aden Holloway</t>
  </si>
  <si>
    <t>Cade Tyson</t>
  </si>
  <si>
    <t>Minnesota</t>
  </si>
  <si>
    <t>Hannes Steinbach</t>
  </si>
  <si>
    <t>Washington</t>
  </si>
  <si>
    <t>Nick Townsend</t>
  </si>
  <si>
    <t>Yale</t>
  </si>
  <si>
    <t>Ivy</t>
  </si>
  <si>
    <t>Isaiah Johnson</t>
  </si>
  <si>
    <t>Colorado</t>
  </si>
  <si>
    <t>Paulius Murauskas</t>
  </si>
  <si>
    <t>Saint Mary's</t>
  </si>
  <si>
    <t>WCC</t>
  </si>
  <si>
    <t>Dior Johnson</t>
  </si>
  <si>
    <t>Tarleton St.</t>
  </si>
  <si>
    <t>WAC</t>
  </si>
  <si>
    <t>Kylan Boswell</t>
  </si>
  <si>
    <t>Graham Ike</t>
  </si>
  <si>
    <t>Gonzaga</t>
  </si>
  <si>
    <t>Cameron Carr</t>
  </si>
  <si>
    <t>Baylor</t>
  </si>
  <si>
    <t>JT Toppin</t>
  </si>
  <si>
    <t>Dailyn Swain</t>
  </si>
  <si>
    <t>Texas</t>
  </si>
  <si>
    <t>Tamin Lipsey</t>
  </si>
  <si>
    <t>Tyler Bilodeau</t>
  </si>
  <si>
    <t>UCLA</t>
  </si>
  <si>
    <t>Nick Boyd</t>
  </si>
  <si>
    <t>Wisconsin</t>
  </si>
  <si>
    <t>Robert Wright III</t>
  </si>
  <si>
    <t>Joshua Jefferson</t>
  </si>
  <si>
    <t>Miles Barnstable</t>
  </si>
  <si>
    <t>Tulsa</t>
  </si>
  <si>
    <t>Amer</t>
  </si>
  <si>
    <t>Flory Bidunga</t>
  </si>
  <si>
    <t>Kansas</t>
  </si>
  <si>
    <t>Ja'Kobi Gillespie</t>
  </si>
  <si>
    <t>Tennessee</t>
  </si>
  <si>
    <t>Terrence Brown</t>
  </si>
  <si>
    <t>Utah</t>
  </si>
  <si>
    <t>Henri Veesaar</t>
  </si>
  <si>
    <t>Colby Garland</t>
  </si>
  <si>
    <t>San Jose St.</t>
  </si>
  <si>
    <t>MWC</t>
  </si>
  <si>
    <t>Nolan Winter</t>
  </si>
  <si>
    <t>Cruz Davis</t>
  </si>
  <si>
    <t>Hofstra</t>
  </si>
  <si>
    <t>CAA</t>
  </si>
  <si>
    <t>Tyler Tanner</t>
  </si>
  <si>
    <t>Vanderbilt</t>
  </si>
  <si>
    <t>MJ Collins</t>
  </si>
  <si>
    <t>Utah St.</t>
  </si>
  <si>
    <t>Pryce Sandfort</t>
  </si>
  <si>
    <t>Nebraska</t>
  </si>
  <si>
    <t>Jayden Stone</t>
  </si>
  <si>
    <t>Missouri</t>
  </si>
  <si>
    <t>Corey Camper Jr.</t>
  </si>
  <si>
    <t>Nevada</t>
  </si>
  <si>
    <t>Emanuel Sharp</t>
  </si>
  <si>
    <t>Lamar Wilkerson</t>
  </si>
  <si>
    <t>Indiana</t>
  </si>
  <si>
    <t>Braden Huff</t>
  </si>
  <si>
    <t>Ven-Allen Lubin</t>
  </si>
  <si>
    <t>N.C. State</t>
  </si>
  <si>
    <t>Jed Miller</t>
  </si>
  <si>
    <t>Montana St.</t>
  </si>
  <si>
    <t>BSky</t>
  </si>
  <si>
    <t>Thomas Haugh</t>
  </si>
  <si>
    <t>Florida</t>
  </si>
  <si>
    <t>Juke Harris</t>
  </si>
  <si>
    <t>Wake Forest</t>
  </si>
  <si>
    <t>Malik Reneau</t>
  </si>
  <si>
    <t>Miami FL</t>
  </si>
  <si>
    <t>Daniel Freitag</t>
  </si>
  <si>
    <t>Buffalo</t>
  </si>
  <si>
    <t>Mason Falslev</t>
  </si>
  <si>
    <t>Quadir Copeland</t>
  </si>
  <si>
    <t>John Blackwell</t>
  </si>
  <si>
    <t>Dedan Thomas Jr.</t>
  </si>
  <si>
    <t>LSU</t>
  </si>
  <si>
    <t>Morez Johnson Jr.</t>
  </si>
  <si>
    <t>Daeshun Ruffin</t>
  </si>
  <si>
    <t>Jackson St.</t>
  </si>
  <si>
    <t>SWAC</t>
  </si>
  <si>
    <t>Tre White</t>
  </si>
  <si>
    <t>Donovan Atwell</t>
  </si>
  <si>
    <t>Tyler Nickel</t>
  </si>
  <si>
    <t>Alex Karaban</t>
  </si>
  <si>
    <t>Connecticut</t>
  </si>
  <si>
    <t>BE</t>
  </si>
  <si>
    <t>Ryan Conwell</t>
  </si>
  <si>
    <t>Louisville</t>
  </si>
  <si>
    <t>Zuby Ejiofor</t>
  </si>
  <si>
    <t>St. John's</t>
  </si>
  <si>
    <t>Barrington Hargress</t>
  </si>
  <si>
    <t>Duke Miles</t>
  </si>
  <si>
    <t>Ethan Potter</t>
  </si>
  <si>
    <t>Utah Tech</t>
  </si>
  <si>
    <t>Tre Donaldson</t>
  </si>
  <si>
    <t>Quinn Denker</t>
  </si>
  <si>
    <t>Northern Colorado</t>
  </si>
  <si>
    <t>Kory Mincy</t>
  </si>
  <si>
    <t>George Mason</t>
  </si>
  <si>
    <t>A10</t>
  </si>
  <si>
    <t>Sam Hoiberg</t>
  </si>
  <si>
    <t>Dominique Daniels Jr.</t>
  </si>
  <si>
    <t>Cal Baptist</t>
  </si>
  <si>
    <t>Kenyon Giles</t>
  </si>
  <si>
    <t>Wichita St.</t>
  </si>
  <si>
    <t>DeSean Goode</t>
  </si>
  <si>
    <t>Robert Morris</t>
  </si>
  <si>
    <t>Horz</t>
  </si>
  <si>
    <t>Trey Kaufman-Renn</t>
  </si>
  <si>
    <t>PJ Haggerty</t>
  </si>
  <si>
    <t>Kansas St.</t>
  </si>
  <si>
    <t>Mark Mitchell</t>
  </si>
  <si>
    <t>Tijan Saine Jr.</t>
  </si>
  <si>
    <t>Weber St.</t>
  </si>
  <si>
    <t>Jaden Bradley</t>
  </si>
  <si>
    <t>Arizona</t>
  </si>
  <si>
    <t>Tariq Francis</t>
  </si>
  <si>
    <t>Rutgers</t>
  </si>
  <si>
    <t>David Green</t>
  </si>
  <si>
    <t>Terrence Hill Jr.</t>
  </si>
  <si>
    <t>VCU</t>
  </si>
  <si>
    <t>John Mobley Jr.</t>
  </si>
  <si>
    <t>B.J. Edwards</t>
  </si>
  <si>
    <t>D.J. Smith</t>
  </si>
  <si>
    <t>Campbell</t>
  </si>
  <si>
    <t>Cooper Noard</t>
  </si>
  <si>
    <t>Cornell</t>
  </si>
  <si>
    <t>Isaac Celiscar</t>
  </si>
  <si>
    <t>Christian Hammond</t>
  </si>
  <si>
    <t>Santa Clara</t>
  </si>
  <si>
    <t>Rafael Castro</t>
  </si>
  <si>
    <t>George Washington</t>
  </si>
  <si>
    <t>Don McHenry</t>
  </si>
  <si>
    <t>Brayden Burries</t>
  </si>
  <si>
    <t>Brody Robinson</t>
  </si>
  <si>
    <t>Oakland</t>
  </si>
  <si>
    <t>Finley Bizjack</t>
  </si>
  <si>
    <t>Butler</t>
  </si>
  <si>
    <t>Paul McNeil, Jr.</t>
  </si>
  <si>
    <t>Jake Fiegen</t>
  </si>
  <si>
    <t>Lewis Walker</t>
  </si>
  <si>
    <t>North Carolina A&amp;T</t>
  </si>
  <si>
    <t>Larry Johnson</t>
  </si>
  <si>
    <t>McNeese St.</t>
  </si>
  <si>
    <t>Slnd</t>
  </si>
  <si>
    <t>Logan Duncomb</t>
  </si>
  <si>
    <t>Winthrop</t>
  </si>
  <si>
    <t>BSth</t>
  </si>
  <si>
    <t>Silas Demary Jr.</t>
  </si>
  <si>
    <t>Themus Fulks</t>
  </si>
  <si>
    <t>UCF</t>
  </si>
  <si>
    <t>Jalen Cox</t>
  </si>
  <si>
    <t>Colgate</t>
  </si>
  <si>
    <t>Pat</t>
  </si>
  <si>
    <t>Ryan Prather Jr.</t>
  </si>
  <si>
    <t>Duke Brennan</t>
  </si>
  <si>
    <t>Villanova</t>
  </si>
  <si>
    <t>Rowan Brumbaugh</t>
  </si>
  <si>
    <t>Tulane</t>
  </si>
  <si>
    <t>Joshua Dent</t>
  </si>
  <si>
    <t>Anthony Roy</t>
  </si>
  <si>
    <t>Oklahoma St.</t>
  </si>
  <si>
    <t>Trey Green</t>
  </si>
  <si>
    <t>Saint Louis</t>
  </si>
  <si>
    <t>Jackson Paveletzke</t>
  </si>
  <si>
    <t>Ohio</t>
  </si>
  <si>
    <t>Josh Hubbard</t>
  </si>
  <si>
    <t>Mississippi St.</t>
  </si>
  <si>
    <t>Thijs De Ridder</t>
  </si>
  <si>
    <t>Virginia</t>
  </si>
  <si>
    <t>Javontae Campbell</t>
  </si>
  <si>
    <t>Bowling Green</t>
  </si>
  <si>
    <t>Gavin Sykes</t>
  </si>
  <si>
    <t>Long Beach St.</t>
  </si>
  <si>
    <t>BW</t>
  </si>
  <si>
    <t>Jakobi Heady</t>
  </si>
  <si>
    <t>Bethune Cookman</t>
  </si>
  <si>
    <t>Maurice Odum</t>
  </si>
  <si>
    <t>Arizona St.</t>
  </si>
  <si>
    <t>Brett Decker Jr.</t>
  </si>
  <si>
    <t>Liberty</t>
  </si>
  <si>
    <t>CUSA</t>
  </si>
  <si>
    <t>Kamrin Oriol</t>
  </si>
  <si>
    <t>North Florida</t>
  </si>
  <si>
    <t>ASun</t>
  </si>
  <si>
    <t>Teagan Moore</t>
  </si>
  <si>
    <t>Western Kentucky</t>
  </si>
  <si>
    <t>Baraka Okojie</t>
  </si>
  <si>
    <t>Mercer</t>
  </si>
  <si>
    <t>SC</t>
  </si>
  <si>
    <t>Chad Baker-Mazara</t>
  </si>
  <si>
    <t>USC</t>
  </si>
  <si>
    <t>David Mirkovic</t>
  </si>
  <si>
    <t>Camden Heide</t>
  </si>
  <si>
    <t>Jaylin Sellers</t>
  </si>
  <si>
    <t>Providence</t>
  </si>
  <si>
    <t>Elias Ralph</t>
  </si>
  <si>
    <t>Pacific</t>
  </si>
  <si>
    <t>Nijel Pack</t>
  </si>
  <si>
    <t>Oklahoma</t>
  </si>
  <si>
    <t>Ezra Ausar</t>
  </si>
  <si>
    <t>Xzayvier Brown</t>
  </si>
  <si>
    <t>Jake Hall</t>
  </si>
  <si>
    <t>New Mexico</t>
  </si>
  <si>
    <t>Hamad Mousa</t>
  </si>
  <si>
    <t>Cal Poly</t>
  </si>
  <si>
    <t>Ruben Dominguez</t>
  </si>
  <si>
    <t>Texas A&amp;M</t>
  </si>
  <si>
    <t>Jamal Fuller</t>
  </si>
  <si>
    <t>LIU</t>
  </si>
  <si>
    <t>NEC</t>
  </si>
  <si>
    <t>Jadis Jones</t>
  </si>
  <si>
    <t>Lindenwood</t>
  </si>
  <si>
    <t>OVC</t>
  </si>
  <si>
    <t>Robbie Avila</t>
  </si>
  <si>
    <t>Terry Anderson</t>
  </si>
  <si>
    <t>High Point</t>
  </si>
  <si>
    <t>Jaquan Johnson</t>
  </si>
  <si>
    <t>Bradley</t>
  </si>
  <si>
    <t>MVC</t>
  </si>
  <si>
    <t>Chandler Cuthrell</t>
  </si>
  <si>
    <t>Elon</t>
  </si>
  <si>
    <t>Kyle Jorgensen</t>
  </si>
  <si>
    <t>Colorado St.</t>
  </si>
  <si>
    <t>Jason Edwards</t>
  </si>
  <si>
    <t>Meleek Thomas</t>
  </si>
  <si>
    <t>Donnie Freeman</t>
  </si>
  <si>
    <t>Syracuse</t>
  </si>
  <si>
    <t>Preston Edmead</t>
  </si>
  <si>
    <t>Carson Johnson</t>
  </si>
  <si>
    <t>Denver</t>
  </si>
  <si>
    <t>Sum</t>
  </si>
  <si>
    <t>Jack Karasinski</t>
  </si>
  <si>
    <t>Bellarmine</t>
  </si>
  <si>
    <t>FT%</t>
  </si>
  <si>
    <t>2P%</t>
  </si>
  <si>
    <t>3P%</t>
  </si>
  <si>
    <t>Grade</t>
  </si>
  <si>
    <t>OR%</t>
  </si>
  <si>
    <t>DR%</t>
  </si>
  <si>
    <t>Ast%</t>
  </si>
  <si>
    <t>TO%</t>
  </si>
  <si>
    <t>Blk%</t>
  </si>
  <si>
    <t>Stl%</t>
  </si>
  <si>
    <t>eFG%</t>
  </si>
  <si>
    <t>Usg%</t>
  </si>
  <si>
    <t>TS%</t>
  </si>
  <si>
    <t>ORtgPctl</t>
  </si>
  <si>
    <t>DRtgPctl</t>
  </si>
  <si>
    <t>DRtg</t>
  </si>
  <si>
    <t>OIS</t>
  </si>
  <si>
    <t>COEI</t>
  </si>
  <si>
    <t>TWIS</t>
  </si>
  <si>
    <t>SS-Score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</si>
</sst>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6"/>
      <color rgb="FFFFFFFF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2100B7"/>
      <name val="Arial"/>
      <family val="2"/>
    </font>
    <font>
      <b/>
      <sz val="7"/>
      <color rgb="FF2100B7"/>
      <name val="Arial"/>
      <family val="2"/>
    </font>
  </fonts>
  <fills count="109">
    <fill>
      <patternFill patternType="none"/>
    </fill>
    <fill>
      <patternFill patternType="gray125"/>
    </fill>
    <fill>
      <patternFill patternType="solid">
        <fgColor rgb="FFF9FB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AFDDBC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B1DEBF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FBEDF0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AEDDBC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FBDCDE"/>
        <bgColor indexed="64"/>
      </patternFill>
    </fill>
    <fill>
      <patternFill patternType="solid">
        <fgColor rgb="FFFAD6D8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FBF3F6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FAC4C7"/>
        <bgColor indexed="64"/>
      </patternFill>
    </fill>
    <fill>
      <patternFill patternType="solid">
        <fgColor rgb="FFFBDFE2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FBF9FC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DFF0E6"/>
        <bgColor indexed="64"/>
      </patternFill>
    </fill>
    <fill>
      <patternFill patternType="solid">
        <fgColor rgb="FFFAD3D6"/>
        <bgColor indexed="64"/>
      </patternFill>
    </fill>
    <fill>
      <patternFill patternType="solid">
        <fgColor rgb="FFFBD9DC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FBEBEE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FBE1E4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FABCBE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FBF1F4"/>
        <bgColor indexed="64"/>
      </patternFill>
    </fill>
    <fill>
      <patternFill patternType="solid">
        <fgColor rgb="FFFACACD"/>
        <bgColor indexed="64"/>
      </patternFill>
    </fill>
    <fill>
      <patternFill patternType="solid">
        <fgColor rgb="FFFAD0D3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FAC2C4"/>
        <bgColor indexed="64"/>
      </patternFill>
    </fill>
    <fill>
      <patternFill patternType="solid">
        <fgColor rgb="FFFAB9BC"/>
        <bgColor indexed="64"/>
      </patternFill>
    </fill>
    <fill>
      <patternFill patternType="solid">
        <fgColor rgb="FFFABEC1"/>
        <bgColor indexed="64"/>
      </patternFill>
    </fill>
    <fill>
      <patternFill patternType="solid">
        <fgColor rgb="FFF9A8AA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F9ADAF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FBF7FA"/>
        <bgColor indexed="64"/>
      </patternFill>
    </fill>
    <fill>
      <patternFill patternType="solid">
        <fgColor rgb="FFFBE5E8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FAC7CA"/>
        <bgColor indexed="64"/>
      </patternFill>
    </fill>
    <fill>
      <patternFill patternType="solid">
        <fgColor rgb="FFFBF6F9"/>
        <bgColor indexed="64"/>
      </patternFill>
    </fill>
    <fill>
      <patternFill patternType="solid">
        <fgColor rgb="FFFBE2E5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FACDD0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FAD4D7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EEF6F3"/>
        <bgColor indexed="64"/>
      </patternFill>
    </fill>
    <fill>
      <patternFill patternType="solid">
        <fgColor rgb="FFFBFAFD"/>
        <bgColor indexed="64"/>
      </patternFill>
    </fill>
    <fill>
      <patternFill patternType="solid">
        <fgColor rgb="FFFAD7D9"/>
        <bgColor indexed="64"/>
      </patternFill>
    </fill>
    <fill>
      <patternFill patternType="solid">
        <fgColor rgb="FFFBDADD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FAB7B9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FAC8CB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FBEEF1"/>
        <bgColor indexed="64"/>
      </patternFill>
    </fill>
    <fill>
      <patternFill patternType="solid">
        <fgColor rgb="FFFBE6E9"/>
        <bgColor indexed="64"/>
      </patternFill>
    </fill>
    <fill>
      <patternFill patternType="solid">
        <fgColor rgb="FFF9ABAD"/>
        <bgColor indexed="64"/>
      </patternFill>
    </fill>
    <fill>
      <patternFill patternType="solid">
        <fgColor rgb="FFFAB2B5"/>
        <bgColor indexed="64"/>
      </patternFill>
    </fill>
    <fill>
      <patternFill patternType="solid">
        <fgColor rgb="FFFAB8BB"/>
        <bgColor indexed="64"/>
      </patternFill>
    </fill>
    <fill>
      <patternFill patternType="solid">
        <fgColor rgb="FFFACBCD"/>
        <bgColor indexed="64"/>
      </patternFill>
    </fill>
    <fill>
      <patternFill patternType="solid">
        <fgColor rgb="FFFBE0E3"/>
        <bgColor indexed="64"/>
      </patternFill>
    </fill>
    <fill>
      <patternFill patternType="solid">
        <fgColor rgb="FFFABFC2"/>
        <bgColor indexed="64"/>
      </patternFill>
    </fill>
    <fill>
      <patternFill patternType="solid">
        <fgColor rgb="FFFBDCDF"/>
        <bgColor indexed="64"/>
      </patternFill>
    </fill>
    <fill>
      <patternFill patternType="solid">
        <fgColor rgb="FFF9AAAC"/>
        <bgColor indexed="64"/>
      </patternFill>
    </fill>
    <fill>
      <patternFill patternType="solid">
        <fgColor rgb="FFFAB6B8"/>
        <bgColor indexed="64"/>
      </patternFill>
    </fill>
    <fill>
      <patternFill patternType="solid">
        <fgColor rgb="FFFAC5C8"/>
        <bgColor indexed="64"/>
      </patternFill>
    </fill>
    <fill>
      <patternFill patternType="solid">
        <fgColor rgb="FFFAB3B6"/>
        <bgColor indexed="64"/>
      </patternFill>
    </fill>
    <fill>
      <patternFill patternType="solid">
        <fgColor rgb="FFF9ADB0"/>
        <bgColor indexed="64"/>
      </patternFill>
    </fill>
    <fill>
      <patternFill patternType="solid">
        <fgColor rgb="FFFABDB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42" borderId="2" xfId="0" applyFont="1" applyFill="1" applyBorder="1" applyAlignment="1">
      <alignment horizontal="center" vertical="center"/>
    </xf>
    <xf numFmtId="0" fontId="2" fillId="43" borderId="2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41" borderId="2" xfId="0" applyFont="1" applyFill="1" applyBorder="1" applyAlignment="1">
      <alignment horizontal="center" vertical="center"/>
    </xf>
    <xf numFmtId="0" fontId="2" fillId="49" borderId="2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" fillId="51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" fillId="58" borderId="1" xfId="0" applyFont="1" applyFill="1" applyBorder="1" applyAlignment="1">
      <alignment horizontal="center" vertical="center"/>
    </xf>
    <xf numFmtId="0" fontId="2" fillId="5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2" fillId="45" borderId="2" xfId="0" applyFont="1" applyFill="1" applyBorder="1" applyAlignment="1">
      <alignment horizontal="center" vertical="center"/>
    </xf>
    <xf numFmtId="0" fontId="2" fillId="55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2" fillId="63" borderId="2" xfId="0" applyFont="1" applyFill="1" applyBorder="1" applyAlignment="1">
      <alignment horizontal="center" vertical="center"/>
    </xf>
    <xf numFmtId="0" fontId="2" fillId="64" borderId="2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67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2" fillId="69" borderId="1" xfId="0" applyFont="1" applyFill="1" applyBorder="1" applyAlignment="1">
      <alignment horizontal="center" vertical="center"/>
    </xf>
    <xf numFmtId="0" fontId="2" fillId="69" borderId="2" xfId="0" applyFont="1" applyFill="1" applyBorder="1" applyAlignment="1">
      <alignment horizontal="center" vertical="center"/>
    </xf>
    <xf numFmtId="0" fontId="2" fillId="70" borderId="1" xfId="0" applyFont="1" applyFill="1" applyBorder="1" applyAlignment="1">
      <alignment horizontal="center" vertical="center"/>
    </xf>
    <xf numFmtId="0" fontId="2" fillId="71" borderId="1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68" borderId="2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2" fillId="75" borderId="1" xfId="0" applyFont="1" applyFill="1" applyBorder="1" applyAlignment="1">
      <alignment horizontal="center" vertical="center"/>
    </xf>
    <xf numFmtId="0" fontId="2" fillId="70" borderId="2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57" borderId="2" xfId="0" applyFont="1" applyFill="1" applyBorder="1" applyAlignment="1">
      <alignment horizontal="center" vertical="center"/>
    </xf>
    <xf numFmtId="0" fontId="2" fillId="76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77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2" fillId="47" borderId="2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81" borderId="1" xfId="0" applyFont="1" applyFill="1" applyBorder="1" applyAlignment="1">
      <alignment horizontal="center" vertical="center"/>
    </xf>
    <xf numFmtId="0" fontId="2" fillId="82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2" fillId="72" borderId="2" xfId="0" applyFont="1" applyFill="1" applyBorder="1" applyAlignment="1">
      <alignment horizontal="center" vertical="center"/>
    </xf>
    <xf numFmtId="0" fontId="2" fillId="85" borderId="1" xfId="0" applyFont="1" applyFill="1" applyBorder="1" applyAlignment="1">
      <alignment horizontal="center" vertical="center"/>
    </xf>
    <xf numFmtId="0" fontId="2" fillId="86" borderId="2" xfId="0" applyFont="1" applyFill="1" applyBorder="1" applyAlignment="1">
      <alignment horizontal="center" vertical="center"/>
    </xf>
    <xf numFmtId="0" fontId="2" fillId="74" borderId="2" xfId="0" applyFont="1" applyFill="1" applyBorder="1" applyAlignment="1">
      <alignment horizontal="center" vertical="center"/>
    </xf>
    <xf numFmtId="0" fontId="2" fillId="76" borderId="1" xfId="0" applyFont="1" applyFill="1" applyBorder="1" applyAlignment="1">
      <alignment horizontal="center" vertical="center"/>
    </xf>
    <xf numFmtId="0" fontId="2" fillId="58" borderId="2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87" borderId="1" xfId="0" applyFont="1" applyFill="1" applyBorder="1" applyAlignment="1">
      <alignment horizontal="center" vertical="center"/>
    </xf>
    <xf numFmtId="0" fontId="2" fillId="62" borderId="2" xfId="0" applyFont="1" applyFill="1" applyBorder="1" applyAlignment="1">
      <alignment horizontal="center" vertical="center"/>
    </xf>
    <xf numFmtId="0" fontId="2" fillId="88" borderId="1" xfId="0" applyFont="1" applyFill="1" applyBorder="1" applyAlignment="1">
      <alignment horizontal="center" vertical="center"/>
    </xf>
    <xf numFmtId="0" fontId="2" fillId="89" borderId="1" xfId="0" applyFont="1" applyFill="1" applyBorder="1" applyAlignment="1">
      <alignment horizontal="center" vertical="center"/>
    </xf>
    <xf numFmtId="0" fontId="2" fillId="38" borderId="2" xfId="0" applyFont="1" applyFill="1" applyBorder="1" applyAlignment="1">
      <alignment horizontal="center" vertical="center"/>
    </xf>
    <xf numFmtId="0" fontId="2" fillId="90" borderId="1" xfId="0" applyFont="1" applyFill="1" applyBorder="1" applyAlignment="1">
      <alignment horizontal="center" vertical="center"/>
    </xf>
    <xf numFmtId="0" fontId="2" fillId="91" borderId="1" xfId="0" applyFont="1" applyFill="1" applyBorder="1" applyAlignment="1">
      <alignment horizontal="center" vertical="center"/>
    </xf>
    <xf numFmtId="0" fontId="2" fillId="92" borderId="1" xfId="0" applyFont="1" applyFill="1" applyBorder="1" applyAlignment="1">
      <alignment horizontal="center" vertical="center"/>
    </xf>
    <xf numFmtId="0" fontId="2" fillId="85" borderId="2" xfId="0" applyFont="1" applyFill="1" applyBorder="1" applyAlignment="1">
      <alignment horizontal="center" vertical="center"/>
    </xf>
    <xf numFmtId="0" fontId="2" fillId="93" borderId="1" xfId="0" applyFont="1" applyFill="1" applyBorder="1" applyAlignment="1">
      <alignment horizontal="center" vertical="center"/>
    </xf>
    <xf numFmtId="0" fontId="2" fillId="66" borderId="2" xfId="0" applyFont="1" applyFill="1" applyBorder="1" applyAlignment="1">
      <alignment horizontal="center" vertical="center"/>
    </xf>
    <xf numFmtId="0" fontId="2" fillId="94" borderId="2" xfId="0" applyFont="1" applyFill="1" applyBorder="1" applyAlignment="1">
      <alignment horizontal="center" vertical="center"/>
    </xf>
    <xf numFmtId="0" fontId="2" fillId="75" borderId="2" xfId="0" applyFont="1" applyFill="1" applyBorder="1" applyAlignment="1">
      <alignment horizontal="center" vertical="center"/>
    </xf>
    <xf numFmtId="0" fontId="2" fillId="88" borderId="2" xfId="0" applyFont="1" applyFill="1" applyBorder="1" applyAlignment="1">
      <alignment horizontal="center" vertical="center"/>
    </xf>
    <xf numFmtId="0" fontId="2" fillId="82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59" borderId="2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2" fillId="90" borderId="2" xfId="0" applyFont="1" applyFill="1" applyBorder="1" applyAlignment="1">
      <alignment horizontal="center" vertical="center"/>
    </xf>
    <xf numFmtId="0" fontId="2" fillId="94" borderId="1" xfId="0" applyFont="1" applyFill="1" applyBorder="1" applyAlignment="1">
      <alignment horizontal="center" vertical="center"/>
    </xf>
    <xf numFmtId="0" fontId="2" fillId="95" borderId="2" xfId="0" applyFont="1" applyFill="1" applyBorder="1" applyAlignment="1">
      <alignment horizontal="center" vertical="center"/>
    </xf>
    <xf numFmtId="0" fontId="2" fillId="60" borderId="2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horizontal="center" vertical="center"/>
    </xf>
    <xf numFmtId="0" fontId="2" fillId="97" borderId="1" xfId="0" applyFont="1" applyFill="1" applyBorder="1" applyAlignment="1">
      <alignment horizontal="center" vertical="center"/>
    </xf>
    <xf numFmtId="0" fontId="2" fillId="98" borderId="2" xfId="0" applyFont="1" applyFill="1" applyBorder="1" applyAlignment="1">
      <alignment horizontal="center" vertical="center"/>
    </xf>
    <xf numFmtId="0" fontId="2" fillId="54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99" borderId="2" xfId="0" applyFont="1" applyFill="1" applyBorder="1" applyAlignment="1">
      <alignment horizontal="center" vertical="center"/>
    </xf>
    <xf numFmtId="0" fontId="2" fillId="48" borderId="2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horizontal="center" vertical="center"/>
    </xf>
    <xf numFmtId="0" fontId="2" fillId="102" borderId="1" xfId="0" applyFont="1" applyFill="1" applyBorder="1" applyAlignment="1">
      <alignment horizontal="center" vertical="center"/>
    </xf>
    <xf numFmtId="0" fontId="2" fillId="79" borderId="2" xfId="0" applyFont="1" applyFill="1" applyBorder="1" applyAlignment="1">
      <alignment horizontal="center" vertical="center"/>
    </xf>
    <xf numFmtId="0" fontId="2" fillId="103" borderId="1" xfId="0" applyFont="1" applyFill="1" applyBorder="1" applyAlignment="1">
      <alignment horizontal="center" vertical="center"/>
    </xf>
    <xf numFmtId="0" fontId="2" fillId="10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2" fillId="105" borderId="1" xfId="0" applyFont="1" applyFill="1" applyBorder="1" applyAlignment="1">
      <alignment horizontal="center" vertical="center"/>
    </xf>
    <xf numFmtId="0" fontId="2" fillId="83" borderId="2" xfId="0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81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106" borderId="1" xfId="0" applyFont="1" applyFill="1" applyBorder="1" applyAlignment="1">
      <alignment horizontal="center" vertical="center"/>
    </xf>
    <xf numFmtId="0" fontId="2" fillId="107" borderId="2" xfId="0" applyFont="1" applyFill="1" applyBorder="1" applyAlignment="1">
      <alignment horizontal="center" vertical="center"/>
    </xf>
    <xf numFmtId="0" fontId="2" fillId="95" borderId="1" xfId="0" applyFont="1" applyFill="1" applyBorder="1" applyAlignment="1">
      <alignment horizontal="center" vertical="center"/>
    </xf>
    <xf numFmtId="0" fontId="2" fillId="104" borderId="2" xfId="0" applyFont="1" applyFill="1" applyBorder="1" applyAlignment="1">
      <alignment horizontal="center" vertical="center"/>
    </xf>
    <xf numFmtId="0" fontId="2" fillId="108" borderId="1" xfId="0" applyFont="1" applyFill="1" applyBorder="1" applyAlignment="1">
      <alignment horizontal="center" vertical="center"/>
    </xf>
    <xf numFmtId="0" fontId="2" fillId="61" borderId="2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06" borderId="2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4" fillId="10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7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5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52B3-595F-4673-86EE-B105B2D48A38}">
  <dimension ref="A1:CQ151"/>
  <sheetViews>
    <sheetView tabSelected="1" zoomScale="145" zoomScaleNormal="145" workbookViewId="0">
      <selection activeCell="AH1" sqref="AH1"/>
    </sheetView>
  </sheetViews>
  <sheetFormatPr defaultRowHeight="14.4" x14ac:dyDescent="0.3"/>
  <cols>
    <col min="1" max="1" width="4.77734375" style="206" bestFit="1" customWidth="1"/>
    <col min="2" max="2" width="14.5546875" bestFit="1" customWidth="1"/>
    <col min="3" max="3" width="13.109375" bestFit="1" customWidth="1"/>
    <col min="4" max="4" width="4.6640625" bestFit="1" customWidth="1"/>
    <col min="5" max="5" width="2.33203125" bestFit="1" customWidth="1"/>
    <col min="6" max="6" width="4.21875" bestFit="1" customWidth="1"/>
    <col min="7" max="7" width="5.109375" bestFit="1" customWidth="1"/>
    <col min="8" max="8" width="6.21875" bestFit="1" customWidth="1"/>
    <col min="9" max="9" width="3.88671875" bestFit="1" customWidth="1"/>
    <col min="10" max="10" width="4.77734375" bestFit="1" customWidth="1"/>
    <col min="11" max="12" width="4.6640625" bestFit="1" customWidth="1"/>
    <col min="13" max="13" width="6.5546875" bestFit="1" customWidth="1"/>
    <col min="14" max="14" width="4.6640625" bestFit="1" customWidth="1"/>
    <col min="15" max="15" width="6.44140625" bestFit="1" customWidth="1"/>
    <col min="16" max="16" width="4.44140625" bestFit="1" customWidth="1"/>
    <col min="17" max="17" width="4.6640625" bestFit="1" customWidth="1"/>
    <col min="18" max="18" width="3.88671875" bestFit="1" customWidth="1"/>
    <col min="19" max="19" width="4" bestFit="1" customWidth="1"/>
    <col min="20" max="20" width="3.88671875" bestFit="1" customWidth="1"/>
    <col min="21" max="21" width="4.109375" bestFit="1" customWidth="1"/>
    <col min="22" max="22" width="3.88671875" bestFit="1" customWidth="1"/>
    <col min="23" max="23" width="4" bestFit="1" customWidth="1"/>
    <col min="24" max="24" width="3.77734375" bestFit="1" customWidth="1"/>
    <col min="25" max="26" width="4.6640625" bestFit="1" customWidth="1"/>
    <col min="27" max="28" width="3.88671875" bestFit="1" customWidth="1"/>
    <col min="29" max="29" width="5.21875" bestFit="1" customWidth="1"/>
    <col min="30" max="30" width="3.88671875" bestFit="1" customWidth="1"/>
    <col min="31" max="31" width="5.44140625" bestFit="1" customWidth="1"/>
    <col min="32" max="32" width="4" bestFit="1" customWidth="1"/>
    <col min="33" max="33" width="5.44140625" bestFit="1" customWidth="1"/>
  </cols>
  <sheetData>
    <row r="1" spans="1:95" ht="15" thickBot="1" x14ac:dyDescent="0.35">
      <c r="A1" s="204" t="s">
        <v>304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314</v>
      </c>
      <c r="N1" s="2" t="s">
        <v>316</v>
      </c>
      <c r="O1" s="2" t="s">
        <v>315</v>
      </c>
      <c r="P1" s="2" t="s">
        <v>312</v>
      </c>
      <c r="Q1" s="2" t="s">
        <v>311</v>
      </c>
      <c r="R1" s="2" t="s">
        <v>313</v>
      </c>
      <c r="S1" s="2" t="s">
        <v>305</v>
      </c>
      <c r="T1" s="2" t="s">
        <v>306</v>
      </c>
      <c r="U1" s="2" t="s">
        <v>307</v>
      </c>
      <c r="V1" s="2" t="s">
        <v>308</v>
      </c>
      <c r="W1" s="2" t="s">
        <v>309</v>
      </c>
      <c r="X1" s="2" t="s">
        <v>310</v>
      </c>
      <c r="Y1" s="2" t="s">
        <v>11</v>
      </c>
      <c r="Z1" s="2" t="s">
        <v>12</v>
      </c>
      <c r="AA1" s="2" t="s">
        <v>301</v>
      </c>
      <c r="AB1" s="2" t="s">
        <v>302</v>
      </c>
      <c r="AC1" s="2" t="s">
        <v>13</v>
      </c>
      <c r="AD1" s="2" t="s">
        <v>303</v>
      </c>
      <c r="AE1" s="2" t="s">
        <v>317</v>
      </c>
      <c r="AF1" s="2" t="s">
        <v>318</v>
      </c>
      <c r="AG1" s="2" t="s">
        <v>319</v>
      </c>
      <c r="AH1" s="2" t="s">
        <v>320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spans="1:95" ht="15" thickBot="1" x14ac:dyDescent="0.35">
      <c r="A2" s="3" t="s">
        <v>14</v>
      </c>
      <c r="B2" s="207" t="s">
        <v>15</v>
      </c>
      <c r="C2" s="207" t="s">
        <v>16</v>
      </c>
      <c r="D2" s="207" t="s">
        <v>17</v>
      </c>
      <c r="E2" s="207">
        <v>22</v>
      </c>
      <c r="F2" s="3">
        <v>81.2</v>
      </c>
      <c r="G2" s="4">
        <v>7.4</v>
      </c>
      <c r="H2" s="5">
        <v>5.7</v>
      </c>
      <c r="I2" s="5">
        <v>18.7</v>
      </c>
      <c r="J2" s="5">
        <v>12.8</v>
      </c>
      <c r="K2" s="6">
        <v>5.8</v>
      </c>
      <c r="L2" s="5">
        <v>134</v>
      </c>
      <c r="M2" s="207">
        <f>(_xlfn.PERCENTRANK.INC($L$2:$L$151,L2)*100)</f>
        <v>85.9</v>
      </c>
      <c r="N2" s="5">
        <v>83.2</v>
      </c>
      <c r="O2" s="207">
        <f>100-(_xlfn.PERCENTRANK.INC($N$2:$N$151,N2)*100)</f>
        <v>100</v>
      </c>
      <c r="P2" s="6">
        <v>30.2</v>
      </c>
      <c r="Q2" s="6">
        <v>63.5</v>
      </c>
      <c r="R2" s="6">
        <v>66.5</v>
      </c>
      <c r="S2" s="7">
        <v>12</v>
      </c>
      <c r="T2" s="8">
        <v>22.2</v>
      </c>
      <c r="U2" s="9">
        <v>26.4</v>
      </c>
      <c r="V2" s="10">
        <v>13.1</v>
      </c>
      <c r="W2" s="3">
        <v>2.1</v>
      </c>
      <c r="X2" s="11">
        <v>3.4</v>
      </c>
      <c r="Y2" s="12">
        <v>47.5</v>
      </c>
      <c r="Z2" s="13">
        <v>2.1</v>
      </c>
      <c r="AA2" s="205">
        <v>75.8</v>
      </c>
      <c r="AB2" s="205">
        <v>66.400000000000006</v>
      </c>
      <c r="AC2" s="14">
        <v>7.1</v>
      </c>
      <c r="AD2" s="205">
        <v>37.5</v>
      </c>
      <c r="AE2" s="205">
        <f>(0.3*P2)+(0.25*R2)+(0.2*G2)+(0.15*U2)+(0.1*Y2)</f>
        <v>35.875</v>
      </c>
      <c r="AF2" s="205">
        <f>((U2+G2)-V2)*_xlfn.PERCENTRANK.INC($V$2:$V$151,V2)</f>
        <v>10.681199999999999</v>
      </c>
      <c r="AG2" s="205">
        <f>(0.35*I2)+(0.2*K2)+(0.15*O2)+(0.15+X2)+(0.15+W2)</f>
        <v>28.504999999999999</v>
      </c>
      <c r="AH2" s="205">
        <f>(AE2*0.4)+(AF2*0.3)+(AG2*0.3)</f>
        <v>26.10586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spans="1:95" ht="15" thickBot="1" x14ac:dyDescent="0.35">
      <c r="A3" s="3" t="s">
        <v>14</v>
      </c>
      <c r="B3" s="207" t="s">
        <v>18</v>
      </c>
      <c r="C3" s="207" t="s">
        <v>19</v>
      </c>
      <c r="D3" s="207" t="s">
        <v>20</v>
      </c>
      <c r="E3" s="207">
        <v>22</v>
      </c>
      <c r="F3" s="3">
        <v>80.599999999999994</v>
      </c>
      <c r="G3" s="4">
        <v>7.1</v>
      </c>
      <c r="H3" s="8">
        <v>4</v>
      </c>
      <c r="I3" s="5">
        <v>12.8</v>
      </c>
      <c r="J3" s="5">
        <v>9.9</v>
      </c>
      <c r="K3" s="16">
        <v>2.8</v>
      </c>
      <c r="L3" s="5">
        <v>140.6</v>
      </c>
      <c r="M3" s="207">
        <f t="shared" ref="M3:M66" si="0">(_xlfn.PERCENTRANK.INC($L$2:$L$151,L3)*100)</f>
        <v>95.899999999999991</v>
      </c>
      <c r="N3" s="17">
        <v>98.7</v>
      </c>
      <c r="O3" s="207">
        <f t="shared" ref="O3:O66" si="1">100-(_xlfn.PERCENTRANK.INC($N$2:$N$151,N3)*100)</f>
        <v>67.8</v>
      </c>
      <c r="P3" s="18">
        <v>24.6</v>
      </c>
      <c r="Q3" s="19">
        <v>59.5</v>
      </c>
      <c r="R3" s="8">
        <v>65.099999999999994</v>
      </c>
      <c r="S3" s="3">
        <v>7</v>
      </c>
      <c r="T3" s="3">
        <v>9.9</v>
      </c>
      <c r="U3" s="20">
        <v>23.9</v>
      </c>
      <c r="V3" s="21">
        <v>11.3</v>
      </c>
      <c r="W3" s="3">
        <v>0.8</v>
      </c>
      <c r="X3" s="3">
        <v>1.5</v>
      </c>
      <c r="Y3" s="22">
        <v>56.2</v>
      </c>
      <c r="Z3" s="23">
        <v>2.4</v>
      </c>
      <c r="AA3" s="205">
        <v>81.599999999999994</v>
      </c>
      <c r="AB3" s="205">
        <v>52.6</v>
      </c>
      <c r="AC3" s="26">
        <v>10.8</v>
      </c>
      <c r="AD3" s="205">
        <v>43.8</v>
      </c>
      <c r="AE3" s="205">
        <f t="shared" ref="AE3:AE66" si="2">(0.3*P3)+(0.25*R3)+(0.2*G3)+(0.15*U3)+(0.1*Y3)</f>
        <v>34.28</v>
      </c>
      <c r="AF3" s="205">
        <f t="shared" ref="AF3:AF66" si="3">((U3+G3)-V3)*_xlfn.PERCENTRANK.INC($V$2:$V$151,V3)</f>
        <v>6.4615999999999998</v>
      </c>
      <c r="AG3" s="205">
        <f t="shared" ref="AG3:AG66" si="4">(0.35*I3)+(0.2*K3)+(0.15*O3)+(0.15+X3)+(0.15+W3)</f>
        <v>17.809999999999999</v>
      </c>
      <c r="AH3" s="205">
        <f t="shared" ref="AH3:AH66" si="5">(AE3*0.4)+(AF3*0.3)+(AG3*0.3)</f>
        <v>20.993480000000002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spans="1:95" ht="15" thickBot="1" x14ac:dyDescent="0.35">
      <c r="A4" s="3" t="s">
        <v>21</v>
      </c>
      <c r="B4" s="207" t="s">
        <v>22</v>
      </c>
      <c r="C4" s="207" t="s">
        <v>23</v>
      </c>
      <c r="D4" s="207" t="s">
        <v>20</v>
      </c>
      <c r="E4" s="207">
        <v>21</v>
      </c>
      <c r="F4" s="3">
        <v>89.6</v>
      </c>
      <c r="G4" s="4">
        <v>6.7</v>
      </c>
      <c r="H4" s="6">
        <v>4.0999999999999996</v>
      </c>
      <c r="I4" s="5">
        <v>10.6</v>
      </c>
      <c r="J4" s="5">
        <v>8</v>
      </c>
      <c r="K4" s="27">
        <v>2.6</v>
      </c>
      <c r="L4" s="5">
        <v>137.5</v>
      </c>
      <c r="M4" s="207">
        <f t="shared" si="0"/>
        <v>92.600000000000009</v>
      </c>
      <c r="N4" s="3">
        <v>101.1</v>
      </c>
      <c r="O4" s="207">
        <f t="shared" si="1"/>
        <v>56.4</v>
      </c>
      <c r="P4" s="3">
        <v>21.6</v>
      </c>
      <c r="Q4" s="8">
        <v>63.1</v>
      </c>
      <c r="R4" s="6">
        <v>66.8</v>
      </c>
      <c r="S4" s="28">
        <v>2.7</v>
      </c>
      <c r="T4" s="3">
        <v>14.2</v>
      </c>
      <c r="U4" s="29">
        <v>19.3</v>
      </c>
      <c r="V4" s="30">
        <v>9.3000000000000007</v>
      </c>
      <c r="W4" s="3">
        <v>0.8</v>
      </c>
      <c r="X4" s="3">
        <v>2.2000000000000002</v>
      </c>
      <c r="Y4" s="14">
        <v>37.299999999999997</v>
      </c>
      <c r="Z4" s="31">
        <v>1.9</v>
      </c>
      <c r="AA4" s="205">
        <v>83.5</v>
      </c>
      <c r="AB4" s="205">
        <v>64.2</v>
      </c>
      <c r="AC4" s="14">
        <v>7.6</v>
      </c>
      <c r="AD4" s="205">
        <v>40.799999999999997</v>
      </c>
      <c r="AE4" s="205">
        <f t="shared" si="2"/>
        <v>31.145</v>
      </c>
      <c r="AF4" s="205">
        <f t="shared" si="3"/>
        <v>2.7888999999999999</v>
      </c>
      <c r="AG4" s="205">
        <f t="shared" si="4"/>
        <v>15.989999999999997</v>
      </c>
      <c r="AH4" s="205">
        <f t="shared" si="5"/>
        <v>18.091670000000001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  <row r="5" spans="1:95" ht="15" thickBot="1" x14ac:dyDescent="0.35">
      <c r="A5" s="3" t="s">
        <v>24</v>
      </c>
      <c r="B5" s="207" t="s">
        <v>25</v>
      </c>
      <c r="C5" s="207" t="s">
        <v>26</v>
      </c>
      <c r="D5" s="207" t="s">
        <v>27</v>
      </c>
      <c r="E5" s="207">
        <v>21</v>
      </c>
      <c r="F5" s="3">
        <v>92</v>
      </c>
      <c r="G5" s="4">
        <v>6.4</v>
      </c>
      <c r="H5" s="5">
        <v>4.5999999999999996</v>
      </c>
      <c r="I5" s="6">
        <v>9.4</v>
      </c>
      <c r="J5" s="5">
        <v>7.3</v>
      </c>
      <c r="K5" s="35">
        <v>2</v>
      </c>
      <c r="L5" s="6">
        <v>127.4</v>
      </c>
      <c r="M5" s="207">
        <f t="shared" si="0"/>
        <v>68.400000000000006</v>
      </c>
      <c r="N5" s="3">
        <v>100</v>
      </c>
      <c r="O5" s="207">
        <f t="shared" si="1"/>
        <v>61.8</v>
      </c>
      <c r="P5" s="18">
        <v>24.6</v>
      </c>
      <c r="Q5" s="7">
        <v>61.3</v>
      </c>
      <c r="R5" s="7">
        <v>64.099999999999994</v>
      </c>
      <c r="S5" s="36">
        <v>2</v>
      </c>
      <c r="T5" s="37">
        <v>7.7</v>
      </c>
      <c r="U5" s="5">
        <v>34.200000000000003</v>
      </c>
      <c r="V5" s="3">
        <v>18.5</v>
      </c>
      <c r="W5" s="3">
        <v>0.6</v>
      </c>
      <c r="X5" s="3">
        <v>2.1</v>
      </c>
      <c r="Y5" s="14">
        <v>31.9</v>
      </c>
      <c r="Z5" s="31">
        <v>1.9</v>
      </c>
      <c r="AA5" s="205">
        <v>78.7</v>
      </c>
      <c r="AB5" s="205">
        <v>55.300000000000004</v>
      </c>
      <c r="AC5" s="40">
        <v>11.7</v>
      </c>
      <c r="AD5" s="205">
        <v>43.6</v>
      </c>
      <c r="AE5" s="205">
        <f t="shared" si="2"/>
        <v>33.004999999999995</v>
      </c>
      <c r="AF5" s="205">
        <f t="shared" si="3"/>
        <v>20.751899999999999</v>
      </c>
      <c r="AG5" s="205">
        <f t="shared" si="4"/>
        <v>15.959999999999999</v>
      </c>
      <c r="AH5" s="205">
        <f>(AE5*0.4)+(AF5*0.3)+(AG5*0.3)</f>
        <v>24.215569999999996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</row>
    <row r="6" spans="1:95" ht="15" thickBot="1" x14ac:dyDescent="0.35">
      <c r="A6" s="3" t="s">
        <v>21</v>
      </c>
      <c r="B6" s="207" t="s">
        <v>28</v>
      </c>
      <c r="C6" s="207" t="s">
        <v>29</v>
      </c>
      <c r="D6" s="207" t="s">
        <v>30</v>
      </c>
      <c r="E6" s="207">
        <v>21</v>
      </c>
      <c r="F6" s="3">
        <v>78.599999999999994</v>
      </c>
      <c r="G6" s="4">
        <v>6.2</v>
      </c>
      <c r="H6" s="11">
        <v>3.7</v>
      </c>
      <c r="I6" s="6">
        <v>9.9</v>
      </c>
      <c r="J6" s="5">
        <v>8.6</v>
      </c>
      <c r="K6" s="3">
        <v>1.2</v>
      </c>
      <c r="L6" s="6">
        <v>126.6</v>
      </c>
      <c r="M6" s="207">
        <f t="shared" si="0"/>
        <v>64.400000000000006</v>
      </c>
      <c r="N6" s="3">
        <v>101.9</v>
      </c>
      <c r="O6" s="207">
        <f t="shared" si="1"/>
        <v>53.1</v>
      </c>
      <c r="P6" s="19">
        <v>27.4</v>
      </c>
      <c r="Q6" s="41">
        <v>55.1</v>
      </c>
      <c r="R6" s="8">
        <v>64.3</v>
      </c>
      <c r="S6" s="3">
        <v>7.3</v>
      </c>
      <c r="T6" s="42">
        <v>17.5</v>
      </c>
      <c r="U6" s="3">
        <v>16.600000000000001</v>
      </c>
      <c r="V6" s="17">
        <v>16.100000000000001</v>
      </c>
      <c r="W6" s="3">
        <v>2.6</v>
      </c>
      <c r="X6" s="43">
        <v>1.4</v>
      </c>
      <c r="Y6" s="44">
        <v>73.099999999999994</v>
      </c>
      <c r="Z6" s="14">
        <v>3</v>
      </c>
      <c r="AA6" s="205">
        <v>85.9</v>
      </c>
      <c r="AB6" s="205">
        <v>51.300000000000004</v>
      </c>
      <c r="AC6" s="14">
        <v>7.8</v>
      </c>
      <c r="AD6" s="205">
        <v>41.099999999999994</v>
      </c>
      <c r="AE6" s="205">
        <f t="shared" si="2"/>
        <v>35.335000000000001</v>
      </c>
      <c r="AF6" s="205">
        <f t="shared" si="3"/>
        <v>5.2125999999999992</v>
      </c>
      <c r="AG6" s="205">
        <f t="shared" si="4"/>
        <v>15.969999999999999</v>
      </c>
      <c r="AH6" s="205">
        <f t="shared" si="5"/>
        <v>20.488779999999998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</row>
    <row r="7" spans="1:95" ht="15" thickBot="1" x14ac:dyDescent="0.35">
      <c r="A7" s="3" t="s">
        <v>21</v>
      </c>
      <c r="B7" s="207" t="s">
        <v>31</v>
      </c>
      <c r="C7" s="207" t="s">
        <v>32</v>
      </c>
      <c r="D7" s="207" t="s">
        <v>20</v>
      </c>
      <c r="E7" s="207">
        <v>21</v>
      </c>
      <c r="F7" s="3">
        <v>82.4</v>
      </c>
      <c r="G7" s="4">
        <v>6.2</v>
      </c>
      <c r="H7" s="19">
        <v>3.6</v>
      </c>
      <c r="I7" s="8">
        <v>8.1</v>
      </c>
      <c r="J7" s="5">
        <v>8.4</v>
      </c>
      <c r="K7" s="3">
        <v>-0.2</v>
      </c>
      <c r="L7" s="8">
        <v>125.3</v>
      </c>
      <c r="M7" s="207">
        <f t="shared" si="0"/>
        <v>57.699999999999996</v>
      </c>
      <c r="N7" s="3">
        <v>104.2</v>
      </c>
      <c r="O7" s="207">
        <f t="shared" si="1"/>
        <v>44.999999999999993</v>
      </c>
      <c r="P7" s="7">
        <v>28.6</v>
      </c>
      <c r="Q7" s="19">
        <v>59.2</v>
      </c>
      <c r="R7" s="7">
        <v>63.7</v>
      </c>
      <c r="S7" s="46">
        <v>9</v>
      </c>
      <c r="T7" s="3">
        <v>13.9</v>
      </c>
      <c r="U7" s="3">
        <v>11.3</v>
      </c>
      <c r="V7" s="30">
        <v>9.1999999999999993</v>
      </c>
      <c r="W7" s="3">
        <v>1.2</v>
      </c>
      <c r="X7" s="37">
        <v>1.1000000000000001</v>
      </c>
      <c r="Y7" s="14">
        <v>47.3</v>
      </c>
      <c r="Z7" s="14">
        <v>2.7</v>
      </c>
      <c r="AA7" s="205">
        <v>79.5</v>
      </c>
      <c r="AB7" s="205">
        <v>56.3</v>
      </c>
      <c r="AC7" s="14">
        <v>5.2</v>
      </c>
      <c r="AD7" s="205">
        <v>47.599999999999994</v>
      </c>
      <c r="AE7" s="205">
        <f t="shared" si="2"/>
        <v>32.17</v>
      </c>
      <c r="AF7" s="205">
        <f t="shared" si="3"/>
        <v>1.2201</v>
      </c>
      <c r="AG7" s="205">
        <f t="shared" si="4"/>
        <v>12.144999999999998</v>
      </c>
      <c r="AH7" s="205">
        <f t="shared" si="5"/>
        <v>16.87753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95" ht="15" thickBot="1" x14ac:dyDescent="0.35">
      <c r="A8" s="3" t="s">
        <v>21</v>
      </c>
      <c r="B8" s="207" t="s">
        <v>33</v>
      </c>
      <c r="C8" s="207" t="s">
        <v>34</v>
      </c>
      <c r="D8" s="207" t="s">
        <v>20</v>
      </c>
      <c r="E8" s="207">
        <v>21</v>
      </c>
      <c r="F8" s="3">
        <v>90.2</v>
      </c>
      <c r="G8" s="4">
        <v>5.8</v>
      </c>
      <c r="H8" s="5">
        <v>4.5999999999999996</v>
      </c>
      <c r="I8" s="6">
        <v>9.1999999999999993</v>
      </c>
      <c r="J8" s="6">
        <v>6.6</v>
      </c>
      <c r="K8" s="27">
        <v>2.6</v>
      </c>
      <c r="L8" s="6">
        <v>126.6</v>
      </c>
      <c r="M8" s="207">
        <f t="shared" si="0"/>
        <v>64.400000000000006</v>
      </c>
      <c r="N8" s="49">
        <v>97.4</v>
      </c>
      <c r="O8" s="207">
        <f t="shared" si="1"/>
        <v>72.5</v>
      </c>
      <c r="P8" s="27">
        <v>25.5</v>
      </c>
      <c r="Q8" s="50">
        <v>58.4</v>
      </c>
      <c r="R8" s="11">
        <v>63</v>
      </c>
      <c r="S8" s="51">
        <v>0.7</v>
      </c>
      <c r="T8" s="52">
        <v>8.1</v>
      </c>
      <c r="U8" s="9">
        <v>27</v>
      </c>
      <c r="V8" s="53">
        <v>13.5</v>
      </c>
      <c r="W8" s="54">
        <v>0.5</v>
      </c>
      <c r="X8" s="55">
        <v>2.6</v>
      </c>
      <c r="Y8" s="14">
        <v>37.9</v>
      </c>
      <c r="Z8" s="23">
        <v>2.4</v>
      </c>
      <c r="AA8" s="205">
        <v>84.3</v>
      </c>
      <c r="AB8" s="205">
        <v>58.599999999999994</v>
      </c>
      <c r="AC8" s="39">
        <v>10.199999999999999</v>
      </c>
      <c r="AD8" s="205">
        <v>38.700000000000003</v>
      </c>
      <c r="AE8" s="205">
        <f t="shared" si="2"/>
        <v>32.4</v>
      </c>
      <c r="AF8" s="205">
        <f t="shared" si="3"/>
        <v>10.614999999999998</v>
      </c>
      <c r="AG8" s="205">
        <f t="shared" si="4"/>
        <v>18.015000000000001</v>
      </c>
      <c r="AH8" s="205">
        <f t="shared" si="5"/>
        <v>21.548999999999999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</row>
    <row r="9" spans="1:95" ht="15" thickBot="1" x14ac:dyDescent="0.35">
      <c r="A9" s="3" t="s">
        <v>14</v>
      </c>
      <c r="B9" s="207" t="s">
        <v>35</v>
      </c>
      <c r="C9" s="207" t="s">
        <v>36</v>
      </c>
      <c r="D9" s="207" t="s">
        <v>27</v>
      </c>
      <c r="E9" s="207">
        <v>21</v>
      </c>
      <c r="F9" s="3">
        <v>80.5</v>
      </c>
      <c r="G9" s="4">
        <v>5.8</v>
      </c>
      <c r="H9" s="6">
        <v>4.2</v>
      </c>
      <c r="I9" s="5">
        <v>10.199999999999999</v>
      </c>
      <c r="J9" s="5">
        <v>8.1</v>
      </c>
      <c r="K9" s="35">
        <v>2</v>
      </c>
      <c r="L9" s="11">
        <v>120.7</v>
      </c>
      <c r="M9" s="207">
        <f t="shared" si="0"/>
        <v>31.5</v>
      </c>
      <c r="N9" s="59">
        <v>96.6</v>
      </c>
      <c r="O9" s="207">
        <f t="shared" si="1"/>
        <v>74.5</v>
      </c>
      <c r="P9" s="6">
        <v>31.7</v>
      </c>
      <c r="Q9" s="42">
        <v>56.5</v>
      </c>
      <c r="R9" s="60">
        <v>61.5</v>
      </c>
      <c r="S9" s="3">
        <v>4.7</v>
      </c>
      <c r="T9" s="55">
        <v>16.5</v>
      </c>
      <c r="U9" s="35">
        <v>21</v>
      </c>
      <c r="V9" s="61">
        <v>15.1</v>
      </c>
      <c r="W9" s="3">
        <v>1.4</v>
      </c>
      <c r="X9" s="3">
        <v>2.2000000000000002</v>
      </c>
      <c r="Y9" s="22">
        <v>56.1</v>
      </c>
      <c r="Z9" s="62">
        <v>1.5</v>
      </c>
      <c r="AA9" s="205">
        <v>76.099999999999994</v>
      </c>
      <c r="AB9" s="205">
        <v>58.599999999999994</v>
      </c>
      <c r="AC9" s="14">
        <v>5.8</v>
      </c>
      <c r="AD9" s="205">
        <v>32.9</v>
      </c>
      <c r="AE9" s="205">
        <f t="shared" si="2"/>
        <v>34.805</v>
      </c>
      <c r="AF9" s="205">
        <f t="shared" si="3"/>
        <v>8.4006000000000007</v>
      </c>
      <c r="AG9" s="205">
        <f t="shared" si="4"/>
        <v>19.044999999999998</v>
      </c>
      <c r="AH9" s="205">
        <f t="shared" si="5"/>
        <v>22.15568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</row>
    <row r="10" spans="1:95" ht="15" thickBot="1" x14ac:dyDescent="0.35">
      <c r="A10" s="3" t="s">
        <v>14</v>
      </c>
      <c r="B10" s="207" t="s">
        <v>37</v>
      </c>
      <c r="C10" s="207" t="s">
        <v>38</v>
      </c>
      <c r="D10" s="207" t="s">
        <v>30</v>
      </c>
      <c r="E10" s="207">
        <v>22</v>
      </c>
      <c r="F10" s="3">
        <v>83.9</v>
      </c>
      <c r="G10" s="4">
        <v>5.7</v>
      </c>
      <c r="H10" s="20">
        <v>3.4</v>
      </c>
      <c r="I10" s="8">
        <v>8.1</v>
      </c>
      <c r="J10" s="5">
        <v>8</v>
      </c>
      <c r="K10" s="3">
        <v>0.2</v>
      </c>
      <c r="L10" s="8">
        <v>124.9</v>
      </c>
      <c r="M10" s="207">
        <f t="shared" si="0"/>
        <v>56.3</v>
      </c>
      <c r="N10" s="3">
        <v>105.3</v>
      </c>
      <c r="O10" s="207">
        <f t="shared" si="1"/>
        <v>39.6</v>
      </c>
      <c r="P10" s="19">
        <v>27.2</v>
      </c>
      <c r="Q10" s="63">
        <v>56.6</v>
      </c>
      <c r="R10" s="27">
        <v>59.8</v>
      </c>
      <c r="S10" s="64">
        <v>1.6</v>
      </c>
      <c r="T10" s="65">
        <v>7.8</v>
      </c>
      <c r="U10" s="6">
        <v>32.799999999999997</v>
      </c>
      <c r="V10" s="66">
        <v>12.4</v>
      </c>
      <c r="W10" s="3">
        <v>1.5</v>
      </c>
      <c r="X10" s="67">
        <v>1.3</v>
      </c>
      <c r="Y10" s="14">
        <v>31</v>
      </c>
      <c r="Z10" s="31">
        <v>1.9</v>
      </c>
      <c r="AA10" s="205">
        <v>77.2</v>
      </c>
      <c r="AB10" s="205">
        <v>53.900000000000006</v>
      </c>
      <c r="AC10" s="69">
        <v>9</v>
      </c>
      <c r="AD10" s="205">
        <v>40.799999999999997</v>
      </c>
      <c r="AE10" s="205">
        <f t="shared" si="2"/>
        <v>32.269999999999996</v>
      </c>
      <c r="AF10" s="205">
        <f t="shared" si="3"/>
        <v>11.3796</v>
      </c>
      <c r="AG10" s="205">
        <f t="shared" si="4"/>
        <v>11.914999999999999</v>
      </c>
      <c r="AH10" s="205">
        <f t="shared" si="5"/>
        <v>19.896380000000001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</row>
    <row r="11" spans="1:95" ht="15" thickBot="1" x14ac:dyDescent="0.35">
      <c r="A11" s="3" t="s">
        <v>21</v>
      </c>
      <c r="B11" s="207" t="s">
        <v>39</v>
      </c>
      <c r="C11" s="207" t="s">
        <v>40</v>
      </c>
      <c r="D11" s="207" t="s">
        <v>20</v>
      </c>
      <c r="E11" s="207">
        <v>22</v>
      </c>
      <c r="F11" s="3">
        <v>83</v>
      </c>
      <c r="G11" s="4">
        <v>5.7</v>
      </c>
      <c r="H11" s="5">
        <v>4.4000000000000004</v>
      </c>
      <c r="I11" s="5">
        <v>11.5</v>
      </c>
      <c r="J11" s="5">
        <v>7.9</v>
      </c>
      <c r="K11" s="9">
        <v>3.6</v>
      </c>
      <c r="L11" s="8">
        <v>124.3</v>
      </c>
      <c r="M11" s="207">
        <f t="shared" si="0"/>
        <v>53</v>
      </c>
      <c r="N11" s="70">
        <v>95.7</v>
      </c>
      <c r="O11" s="207">
        <f t="shared" si="1"/>
        <v>76.599999999999994</v>
      </c>
      <c r="P11" s="60">
        <v>26.8</v>
      </c>
      <c r="Q11" s="71">
        <v>58.1</v>
      </c>
      <c r="R11" s="71">
        <v>60.7</v>
      </c>
      <c r="S11" s="52">
        <v>2.1</v>
      </c>
      <c r="T11" s="3">
        <v>10.8</v>
      </c>
      <c r="U11" s="5">
        <v>44.3</v>
      </c>
      <c r="V11" s="3">
        <v>20.3</v>
      </c>
      <c r="W11" s="3">
        <v>0.7</v>
      </c>
      <c r="X11" s="9">
        <v>3.3</v>
      </c>
      <c r="Y11" s="72">
        <v>24.6</v>
      </c>
      <c r="Z11" s="73">
        <v>1.8</v>
      </c>
      <c r="AA11" s="205">
        <v>78.7</v>
      </c>
      <c r="AB11" s="205">
        <v>53.800000000000004</v>
      </c>
      <c r="AC11" s="14">
        <v>7.6</v>
      </c>
      <c r="AD11" s="205">
        <v>43.5</v>
      </c>
      <c r="AE11" s="205">
        <f t="shared" si="2"/>
        <v>33.46</v>
      </c>
      <c r="AF11" s="205">
        <f t="shared" si="3"/>
        <v>29.284199999999998</v>
      </c>
      <c r="AG11" s="205">
        <f t="shared" si="4"/>
        <v>20.535</v>
      </c>
      <c r="AH11" s="205">
        <f t="shared" si="5"/>
        <v>28.32976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</row>
    <row r="12" spans="1:95" ht="15" thickBot="1" x14ac:dyDescent="0.35">
      <c r="A12" s="3" t="s">
        <v>41</v>
      </c>
      <c r="B12" s="207" t="s">
        <v>42</v>
      </c>
      <c r="C12" s="207" t="s">
        <v>43</v>
      </c>
      <c r="D12" s="207" t="s">
        <v>20</v>
      </c>
      <c r="E12" s="207">
        <v>22</v>
      </c>
      <c r="F12" s="3">
        <v>76.900000000000006</v>
      </c>
      <c r="G12" s="4">
        <v>5.7</v>
      </c>
      <c r="H12" s="5">
        <v>4.5</v>
      </c>
      <c r="I12" s="5">
        <v>11.4</v>
      </c>
      <c r="J12" s="6">
        <v>6.8</v>
      </c>
      <c r="K12" s="8">
        <v>4.5999999999999996</v>
      </c>
      <c r="L12" s="5">
        <v>130.69999999999999</v>
      </c>
      <c r="M12" s="207">
        <f t="shared" si="0"/>
        <v>81.2</v>
      </c>
      <c r="N12" s="74">
        <v>92</v>
      </c>
      <c r="O12" s="207">
        <f t="shared" si="1"/>
        <v>90.7</v>
      </c>
      <c r="P12" s="71">
        <v>26.2</v>
      </c>
      <c r="Q12" s="3">
        <v>49.5</v>
      </c>
      <c r="R12" s="27">
        <v>59.9</v>
      </c>
      <c r="S12" s="52">
        <v>2.1</v>
      </c>
      <c r="T12" s="37">
        <v>7.7</v>
      </c>
      <c r="U12" s="5">
        <v>51.6</v>
      </c>
      <c r="V12" s="75">
        <v>16.2</v>
      </c>
      <c r="W12" s="67">
        <v>0.2</v>
      </c>
      <c r="X12" s="76">
        <v>2.4</v>
      </c>
      <c r="Y12" s="45">
        <v>63.3</v>
      </c>
      <c r="Z12" s="14">
        <v>2.7</v>
      </c>
      <c r="AA12" s="205">
        <v>89.5</v>
      </c>
      <c r="AB12" s="205">
        <v>53.1</v>
      </c>
      <c r="AC12" s="14">
        <v>5.6</v>
      </c>
      <c r="AD12" s="205">
        <v>27.700000000000003</v>
      </c>
      <c r="AE12" s="205">
        <f t="shared" si="2"/>
        <v>38.045000000000002</v>
      </c>
      <c r="AF12" s="205">
        <f t="shared" si="3"/>
        <v>32.510100000000008</v>
      </c>
      <c r="AG12" s="205">
        <f t="shared" si="4"/>
        <v>21.415000000000003</v>
      </c>
      <c r="AH12" s="205">
        <f t="shared" si="5"/>
        <v>31.395530000000008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</row>
    <row r="13" spans="1:95" ht="15" thickBot="1" x14ac:dyDescent="0.35">
      <c r="A13" s="3" t="s">
        <v>21</v>
      </c>
      <c r="B13" s="207" t="s">
        <v>44</v>
      </c>
      <c r="C13" s="207" t="s">
        <v>36</v>
      </c>
      <c r="D13" s="207" t="s">
        <v>27</v>
      </c>
      <c r="E13" s="207">
        <v>21</v>
      </c>
      <c r="F13" s="3">
        <v>80.5</v>
      </c>
      <c r="G13" s="4">
        <v>5.7</v>
      </c>
      <c r="H13" s="6">
        <v>4.3</v>
      </c>
      <c r="I13" s="5">
        <v>10.7</v>
      </c>
      <c r="J13" s="5">
        <v>7.8</v>
      </c>
      <c r="K13" s="20">
        <v>2.9</v>
      </c>
      <c r="L13" s="5">
        <v>130.9</v>
      </c>
      <c r="M13" s="207">
        <f t="shared" si="0"/>
        <v>82.5</v>
      </c>
      <c r="N13" s="80">
        <v>95.5</v>
      </c>
      <c r="O13" s="207">
        <f t="shared" si="1"/>
        <v>77.2</v>
      </c>
      <c r="P13" s="81">
        <v>23.5</v>
      </c>
      <c r="Q13" s="7">
        <v>61.2</v>
      </c>
      <c r="R13" s="8">
        <v>65</v>
      </c>
      <c r="S13" s="3">
        <v>6.2</v>
      </c>
      <c r="T13" s="3">
        <v>12.9</v>
      </c>
      <c r="U13" s="3">
        <v>11.6</v>
      </c>
      <c r="V13" s="82">
        <v>12.3</v>
      </c>
      <c r="W13" s="3">
        <v>1</v>
      </c>
      <c r="X13" s="11">
        <v>3.4</v>
      </c>
      <c r="Y13" s="14">
        <v>37.5</v>
      </c>
      <c r="Z13" s="14">
        <v>2.7</v>
      </c>
      <c r="AA13" s="205">
        <v>82</v>
      </c>
      <c r="AB13" s="205">
        <v>63.6</v>
      </c>
      <c r="AC13" s="45">
        <v>12.3</v>
      </c>
      <c r="AD13" s="205">
        <v>39.6</v>
      </c>
      <c r="AE13" s="205">
        <f t="shared" si="2"/>
        <v>29.93</v>
      </c>
      <c r="AF13" s="205">
        <f t="shared" si="3"/>
        <v>2.145</v>
      </c>
      <c r="AG13" s="205">
        <f t="shared" si="4"/>
        <v>20.604999999999997</v>
      </c>
      <c r="AH13" s="205">
        <f t="shared" si="5"/>
        <v>18.797000000000001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</row>
    <row r="14" spans="1:95" ht="15" thickBot="1" x14ac:dyDescent="0.35">
      <c r="A14" s="3" t="s">
        <v>21</v>
      </c>
      <c r="B14" s="207" t="s">
        <v>45</v>
      </c>
      <c r="C14" s="207" t="s">
        <v>46</v>
      </c>
      <c r="D14" s="207" t="s">
        <v>17</v>
      </c>
      <c r="E14" s="207">
        <v>21</v>
      </c>
      <c r="F14" s="3">
        <v>82.1</v>
      </c>
      <c r="G14" s="4">
        <v>5.6</v>
      </c>
      <c r="H14" s="11">
        <v>3.7</v>
      </c>
      <c r="I14" s="8">
        <v>7.8</v>
      </c>
      <c r="J14" s="6">
        <v>6.3</v>
      </c>
      <c r="K14" s="84">
        <v>1.5</v>
      </c>
      <c r="L14" s="8">
        <v>124.4</v>
      </c>
      <c r="M14" s="207">
        <f t="shared" si="0"/>
        <v>55.000000000000007</v>
      </c>
      <c r="N14" s="3">
        <v>102.8</v>
      </c>
      <c r="O14" s="207">
        <f t="shared" si="1"/>
        <v>51.1</v>
      </c>
      <c r="P14" s="71">
        <v>26.2</v>
      </c>
      <c r="Q14" s="76">
        <v>53.3</v>
      </c>
      <c r="R14" s="50">
        <v>61.2</v>
      </c>
      <c r="S14" s="85">
        <v>2.2000000000000002</v>
      </c>
      <c r="T14" s="86">
        <v>9.1</v>
      </c>
      <c r="U14" s="6">
        <v>31.6</v>
      </c>
      <c r="V14" s="3">
        <v>16.5</v>
      </c>
      <c r="W14" s="86">
        <v>0.3</v>
      </c>
      <c r="X14" s="18">
        <v>2.7</v>
      </c>
      <c r="Y14" s="24">
        <v>55.4</v>
      </c>
      <c r="Z14" s="87">
        <v>2.6</v>
      </c>
      <c r="AA14" s="205">
        <v>86.8</v>
      </c>
      <c r="AB14" s="205">
        <v>50.9</v>
      </c>
      <c r="AC14" s="14">
        <v>7.4</v>
      </c>
      <c r="AD14" s="205">
        <v>38.1</v>
      </c>
      <c r="AE14" s="205">
        <f t="shared" si="2"/>
        <v>34.56</v>
      </c>
      <c r="AF14" s="205">
        <f t="shared" si="3"/>
        <v>17.077500000000001</v>
      </c>
      <c r="AG14" s="205">
        <f t="shared" si="4"/>
        <v>13.994999999999999</v>
      </c>
      <c r="AH14" s="205">
        <f t="shared" si="5"/>
        <v>23.14575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</row>
    <row r="15" spans="1:95" ht="15" thickBot="1" x14ac:dyDescent="0.35">
      <c r="A15" s="3" t="s">
        <v>41</v>
      </c>
      <c r="B15" s="207" t="s">
        <v>47</v>
      </c>
      <c r="C15" s="207" t="s">
        <v>48</v>
      </c>
      <c r="D15" s="207" t="s">
        <v>27</v>
      </c>
      <c r="E15" s="207">
        <v>22</v>
      </c>
      <c r="F15" s="3">
        <v>72.3</v>
      </c>
      <c r="G15" s="4">
        <v>5.6</v>
      </c>
      <c r="H15" s="8">
        <v>4</v>
      </c>
      <c r="I15" s="5">
        <v>12.7</v>
      </c>
      <c r="J15" s="5">
        <v>10.199999999999999</v>
      </c>
      <c r="K15" s="42">
        <v>2.5</v>
      </c>
      <c r="L15" s="5">
        <v>145.80000000000001</v>
      </c>
      <c r="M15" s="207">
        <f t="shared" si="0"/>
        <v>98.6</v>
      </c>
      <c r="N15" s="10">
        <v>94.4</v>
      </c>
      <c r="O15" s="207">
        <f t="shared" si="1"/>
        <v>81.3</v>
      </c>
      <c r="P15" s="3">
        <v>18.8</v>
      </c>
      <c r="Q15" s="5">
        <v>72.7</v>
      </c>
      <c r="R15" s="5">
        <v>74.599999999999994</v>
      </c>
      <c r="S15" s="89">
        <v>1</v>
      </c>
      <c r="T15" s="3">
        <v>11.7</v>
      </c>
      <c r="U15" s="90">
        <v>5.6</v>
      </c>
      <c r="V15" s="30">
        <v>9.1</v>
      </c>
      <c r="W15" s="3">
        <v>1.2</v>
      </c>
      <c r="X15" s="3">
        <v>1.9</v>
      </c>
      <c r="Y15" s="91">
        <v>21.3</v>
      </c>
      <c r="Z15" s="92">
        <v>2.2000000000000002</v>
      </c>
      <c r="AA15" s="205">
        <v>88.7</v>
      </c>
      <c r="AB15" s="205">
        <v>56.999999999999993</v>
      </c>
      <c r="AC15" s="44">
        <v>14.7</v>
      </c>
      <c r="AD15" s="205">
        <v>54</v>
      </c>
      <c r="AE15" s="205">
        <f t="shared" si="2"/>
        <v>28.38</v>
      </c>
      <c r="AF15" s="205">
        <f t="shared" si="3"/>
        <v>0.29399999999999998</v>
      </c>
      <c r="AG15" s="205">
        <f t="shared" si="4"/>
        <v>20.54</v>
      </c>
      <c r="AH15" s="205">
        <f t="shared" si="5"/>
        <v>17.6022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</row>
    <row r="16" spans="1:95" ht="15" thickBot="1" x14ac:dyDescent="0.35">
      <c r="A16" s="3" t="s">
        <v>21</v>
      </c>
      <c r="B16" s="207" t="s">
        <v>49</v>
      </c>
      <c r="C16" s="207" t="s">
        <v>40</v>
      </c>
      <c r="D16" s="207" t="s">
        <v>20</v>
      </c>
      <c r="E16" s="207">
        <v>22</v>
      </c>
      <c r="F16" s="3">
        <v>58.4</v>
      </c>
      <c r="G16" s="4">
        <v>5.6</v>
      </c>
      <c r="H16" s="46">
        <v>3.1</v>
      </c>
      <c r="I16" s="5">
        <v>11.2</v>
      </c>
      <c r="J16" s="5">
        <v>8.4</v>
      </c>
      <c r="K16" s="16">
        <v>2.8</v>
      </c>
      <c r="L16" s="5">
        <v>155.9</v>
      </c>
      <c r="M16" s="207">
        <f t="shared" si="0"/>
        <v>100</v>
      </c>
      <c r="N16" s="70">
        <v>95.8</v>
      </c>
      <c r="O16" s="207">
        <f t="shared" si="1"/>
        <v>75.900000000000006</v>
      </c>
      <c r="P16" s="3">
        <v>18.5</v>
      </c>
      <c r="Q16" s="5">
        <v>74.599999999999994</v>
      </c>
      <c r="R16" s="5">
        <v>74.8</v>
      </c>
      <c r="S16" s="5">
        <v>18.7</v>
      </c>
      <c r="T16" s="9">
        <v>20.399999999999999</v>
      </c>
      <c r="U16" s="3">
        <v>12.1</v>
      </c>
      <c r="V16" s="94">
        <v>7</v>
      </c>
      <c r="W16" s="55">
        <v>3.7</v>
      </c>
      <c r="X16" s="95">
        <v>0.8</v>
      </c>
      <c r="Y16" s="14">
        <v>44.8</v>
      </c>
      <c r="Z16" s="96">
        <v>4.4000000000000004</v>
      </c>
      <c r="AA16" s="205">
        <v>71.7</v>
      </c>
      <c r="AB16" s="205">
        <v>74.599999999999994</v>
      </c>
      <c r="AC16" s="97">
        <v>0</v>
      </c>
      <c r="AD16" s="205">
        <v>0</v>
      </c>
      <c r="AE16" s="205">
        <f t="shared" si="2"/>
        <v>31.665000000000003</v>
      </c>
      <c r="AF16" s="205">
        <f t="shared" si="3"/>
        <v>0.49219999999999997</v>
      </c>
      <c r="AG16" s="205">
        <f t="shared" si="4"/>
        <v>20.664999999999999</v>
      </c>
      <c r="AH16" s="205">
        <f t="shared" si="5"/>
        <v>19.013160000000003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</row>
    <row r="17" spans="1:95" ht="15" thickBot="1" x14ac:dyDescent="0.35">
      <c r="A17" s="3" t="s">
        <v>14</v>
      </c>
      <c r="B17" s="207" t="s">
        <v>50</v>
      </c>
      <c r="C17" s="207" t="s">
        <v>51</v>
      </c>
      <c r="D17" s="207" t="s">
        <v>17</v>
      </c>
      <c r="E17" s="207">
        <v>20</v>
      </c>
      <c r="F17" s="3">
        <v>76.2</v>
      </c>
      <c r="G17" s="4">
        <v>5.5</v>
      </c>
      <c r="H17" s="19">
        <v>3.6</v>
      </c>
      <c r="I17" s="8">
        <v>8.1999999999999993</v>
      </c>
      <c r="J17" s="6">
        <v>6.8</v>
      </c>
      <c r="K17" s="58">
        <v>1.4</v>
      </c>
      <c r="L17" s="60">
        <v>117.8</v>
      </c>
      <c r="M17" s="207">
        <f t="shared" si="0"/>
        <v>14.7</v>
      </c>
      <c r="N17" s="3">
        <v>103.4</v>
      </c>
      <c r="O17" s="207">
        <f t="shared" si="1"/>
        <v>47.699999999999996</v>
      </c>
      <c r="P17" s="6">
        <v>30.1</v>
      </c>
      <c r="Q17" s="3">
        <v>47.6</v>
      </c>
      <c r="R17" s="3">
        <v>55.1</v>
      </c>
      <c r="S17" s="28">
        <v>2.7</v>
      </c>
      <c r="T17" s="3">
        <v>9.9</v>
      </c>
      <c r="U17" s="63">
        <v>22.6</v>
      </c>
      <c r="V17" s="30">
        <v>9.4</v>
      </c>
      <c r="W17" s="3">
        <v>1</v>
      </c>
      <c r="X17" s="29">
        <v>2.5</v>
      </c>
      <c r="Y17" s="69">
        <v>50.2</v>
      </c>
      <c r="Z17" s="73">
        <v>1.8</v>
      </c>
      <c r="AA17" s="205">
        <v>81.899999999999991</v>
      </c>
      <c r="AB17" s="205">
        <v>49.5</v>
      </c>
      <c r="AC17" s="22">
        <v>10.4</v>
      </c>
      <c r="AD17" s="205">
        <v>29.799999999999997</v>
      </c>
      <c r="AE17" s="205">
        <f t="shared" si="2"/>
        <v>32.315000000000005</v>
      </c>
      <c r="AF17" s="205">
        <f t="shared" si="3"/>
        <v>3.4969000000000006</v>
      </c>
      <c r="AG17" s="205">
        <f t="shared" si="4"/>
        <v>14.105</v>
      </c>
      <c r="AH17" s="205">
        <f t="shared" si="5"/>
        <v>18.206570000000003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</row>
    <row r="18" spans="1:95" ht="15" thickBot="1" x14ac:dyDescent="0.35">
      <c r="A18" s="3" t="s">
        <v>14</v>
      </c>
      <c r="B18" s="207" t="s">
        <v>52</v>
      </c>
      <c r="C18" s="207" t="s">
        <v>53</v>
      </c>
      <c r="D18" s="207" t="s">
        <v>17</v>
      </c>
      <c r="E18" s="207">
        <v>22</v>
      </c>
      <c r="F18" s="3">
        <v>77.900000000000006</v>
      </c>
      <c r="G18" s="4">
        <v>5.5</v>
      </c>
      <c r="H18" s="5">
        <v>4.7</v>
      </c>
      <c r="I18" s="5">
        <v>12.8</v>
      </c>
      <c r="J18" s="5">
        <v>8.5</v>
      </c>
      <c r="K18" s="7">
        <v>4.3</v>
      </c>
      <c r="L18" s="8">
        <v>124.3</v>
      </c>
      <c r="M18" s="207">
        <f t="shared" si="0"/>
        <v>53</v>
      </c>
      <c r="N18" s="99">
        <v>91.1</v>
      </c>
      <c r="O18" s="207">
        <f t="shared" si="1"/>
        <v>92</v>
      </c>
      <c r="P18" s="7">
        <v>28.9</v>
      </c>
      <c r="Q18" s="19">
        <v>59.2</v>
      </c>
      <c r="R18" s="9">
        <v>62.6</v>
      </c>
      <c r="S18" s="9">
        <v>11.4</v>
      </c>
      <c r="T18" s="8">
        <v>22.1</v>
      </c>
      <c r="U18" s="76">
        <v>18.399999999999999</v>
      </c>
      <c r="V18" s="10">
        <v>13</v>
      </c>
      <c r="W18" s="42">
        <v>4.2</v>
      </c>
      <c r="X18" s="42">
        <v>2.8</v>
      </c>
      <c r="Y18" s="57">
        <v>62.1</v>
      </c>
      <c r="Z18" s="87">
        <v>2.6</v>
      </c>
      <c r="AA18" s="205">
        <v>70.399999999999991</v>
      </c>
      <c r="AB18" s="205">
        <v>61.3</v>
      </c>
      <c r="AC18" s="100">
        <v>2</v>
      </c>
      <c r="AD18" s="205">
        <v>25</v>
      </c>
      <c r="AE18" s="205">
        <f t="shared" si="2"/>
        <v>34.39</v>
      </c>
      <c r="AF18" s="205">
        <f t="shared" si="3"/>
        <v>5.3300999999999989</v>
      </c>
      <c r="AG18" s="205">
        <f t="shared" si="4"/>
        <v>26.44</v>
      </c>
      <c r="AH18" s="205">
        <f t="shared" si="5"/>
        <v>23.287030000000001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</row>
    <row r="19" spans="1:95" ht="15" thickBot="1" x14ac:dyDescent="0.35">
      <c r="A19" s="3" t="s">
        <v>14</v>
      </c>
      <c r="B19" s="207" t="s">
        <v>54</v>
      </c>
      <c r="C19" s="207" t="s">
        <v>55</v>
      </c>
      <c r="D19" s="207" t="s">
        <v>27</v>
      </c>
      <c r="E19" s="207">
        <v>21</v>
      </c>
      <c r="F19" s="3">
        <v>77.3</v>
      </c>
      <c r="G19" s="4">
        <v>5.4</v>
      </c>
      <c r="H19" s="5">
        <v>4.7</v>
      </c>
      <c r="I19" s="5">
        <v>13.1</v>
      </c>
      <c r="J19" s="5">
        <v>7.8</v>
      </c>
      <c r="K19" s="6">
        <v>5.3</v>
      </c>
      <c r="L19" s="6">
        <v>126.3</v>
      </c>
      <c r="M19" s="207">
        <f t="shared" si="0"/>
        <v>61.7</v>
      </c>
      <c r="N19" s="102">
        <v>90.3</v>
      </c>
      <c r="O19" s="207">
        <f t="shared" si="1"/>
        <v>92.7</v>
      </c>
      <c r="P19" s="60">
        <v>26.8</v>
      </c>
      <c r="Q19" s="63">
        <v>56.6</v>
      </c>
      <c r="R19" s="20">
        <v>60.5</v>
      </c>
      <c r="S19" s="37">
        <v>1.7</v>
      </c>
      <c r="T19" s="3">
        <v>11.2</v>
      </c>
      <c r="U19" s="5">
        <v>34.799999999999997</v>
      </c>
      <c r="V19" s="103">
        <v>14.4</v>
      </c>
      <c r="W19" s="3">
        <v>1.5</v>
      </c>
      <c r="X19" s="8">
        <v>3.6</v>
      </c>
      <c r="Y19" s="14">
        <v>31.1</v>
      </c>
      <c r="Z19" s="104">
        <v>2.2999999999999998</v>
      </c>
      <c r="AA19" s="205">
        <v>82.5</v>
      </c>
      <c r="AB19" s="205">
        <v>55.900000000000006</v>
      </c>
      <c r="AC19" s="14">
        <v>6.5</v>
      </c>
      <c r="AD19" s="205">
        <v>39.1</v>
      </c>
      <c r="AE19" s="205">
        <f t="shared" si="2"/>
        <v>32.574999999999996</v>
      </c>
      <c r="AF19" s="205">
        <f t="shared" si="3"/>
        <v>16.950599999999998</v>
      </c>
      <c r="AG19" s="205">
        <f t="shared" si="4"/>
        <v>24.949999999999996</v>
      </c>
      <c r="AH19" s="205">
        <f t="shared" si="5"/>
        <v>25.600179999999998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</row>
    <row r="20" spans="1:95" ht="15" thickBot="1" x14ac:dyDescent="0.35">
      <c r="A20" s="3" t="s">
        <v>24</v>
      </c>
      <c r="B20" s="207" t="s">
        <v>56</v>
      </c>
      <c r="C20" s="207" t="s">
        <v>57</v>
      </c>
      <c r="D20" s="207" t="s">
        <v>30</v>
      </c>
      <c r="E20" s="207">
        <v>20</v>
      </c>
      <c r="F20" s="3">
        <v>70.099999999999994</v>
      </c>
      <c r="G20" s="4">
        <v>5.4</v>
      </c>
      <c r="H20" s="27">
        <v>3.3</v>
      </c>
      <c r="I20" s="6">
        <v>9.6</v>
      </c>
      <c r="J20" s="5">
        <v>8.3000000000000007</v>
      </c>
      <c r="K20" s="105">
        <v>1.4</v>
      </c>
      <c r="L20" s="9">
        <v>119.7</v>
      </c>
      <c r="M20" s="207">
        <f t="shared" si="0"/>
        <v>25.5</v>
      </c>
      <c r="N20" s="3">
        <v>102.2</v>
      </c>
      <c r="O20" s="207">
        <f t="shared" si="1"/>
        <v>52.400000000000006</v>
      </c>
      <c r="P20" s="6">
        <v>31.2</v>
      </c>
      <c r="Q20" s="50">
        <v>58.4</v>
      </c>
      <c r="R20" s="60">
        <v>61.7</v>
      </c>
      <c r="S20" s="64">
        <v>1.6</v>
      </c>
      <c r="T20" s="43">
        <v>9.3000000000000007</v>
      </c>
      <c r="U20" s="6">
        <v>33.5</v>
      </c>
      <c r="V20" s="3">
        <v>16.399999999999999</v>
      </c>
      <c r="W20" s="3">
        <v>0.6</v>
      </c>
      <c r="X20" s="3">
        <v>2.2999999999999998</v>
      </c>
      <c r="Y20" s="14">
        <v>38.5</v>
      </c>
      <c r="Z20" s="87">
        <v>2.6</v>
      </c>
      <c r="AA20" s="205">
        <v>75.400000000000006</v>
      </c>
      <c r="AB20" s="205">
        <v>59.099999999999994</v>
      </c>
      <c r="AC20" s="24">
        <v>10.3</v>
      </c>
      <c r="AD20" s="205">
        <v>38.299999999999997</v>
      </c>
      <c r="AE20" s="205">
        <f t="shared" si="2"/>
        <v>34.74</v>
      </c>
      <c r="AF20" s="205">
        <f t="shared" si="3"/>
        <v>18.27</v>
      </c>
      <c r="AG20" s="205">
        <f t="shared" si="4"/>
        <v>14.7</v>
      </c>
      <c r="AH20" s="205">
        <f t="shared" si="5"/>
        <v>23.787000000000003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</row>
    <row r="21" spans="1:95" ht="15" thickBot="1" x14ac:dyDescent="0.35">
      <c r="A21" s="3" t="s">
        <v>21</v>
      </c>
      <c r="B21" s="207" t="s">
        <v>58</v>
      </c>
      <c r="C21" s="207" t="s">
        <v>59</v>
      </c>
      <c r="D21" s="207" t="s">
        <v>20</v>
      </c>
      <c r="E21" s="207">
        <v>21</v>
      </c>
      <c r="F21" s="3">
        <v>69.7</v>
      </c>
      <c r="G21" s="4">
        <v>5.3</v>
      </c>
      <c r="H21" s="5">
        <v>4.9000000000000004</v>
      </c>
      <c r="I21" s="5">
        <v>15.5</v>
      </c>
      <c r="J21" s="5">
        <v>9.1</v>
      </c>
      <c r="K21" s="5">
        <v>6.4</v>
      </c>
      <c r="L21" s="5">
        <v>136</v>
      </c>
      <c r="M21" s="207">
        <f t="shared" si="0"/>
        <v>90.600000000000009</v>
      </c>
      <c r="N21" s="5">
        <v>83.7</v>
      </c>
      <c r="O21" s="207">
        <f t="shared" si="1"/>
        <v>99.4</v>
      </c>
      <c r="P21" s="3">
        <v>21.4</v>
      </c>
      <c r="Q21" s="27">
        <v>56.9</v>
      </c>
      <c r="R21" s="11">
        <v>62.8</v>
      </c>
      <c r="S21" s="16">
        <v>9.9</v>
      </c>
      <c r="T21" s="46">
        <v>17.2</v>
      </c>
      <c r="U21" s="3">
        <v>17.600000000000001</v>
      </c>
      <c r="V21" s="30">
        <v>9.4</v>
      </c>
      <c r="W21" s="19">
        <v>5.2</v>
      </c>
      <c r="X21" s="55">
        <v>2.6</v>
      </c>
      <c r="Y21" s="14">
        <v>46</v>
      </c>
      <c r="Z21" s="92">
        <v>2.2000000000000002</v>
      </c>
      <c r="AA21" s="205">
        <v>84.899999999999991</v>
      </c>
      <c r="AB21" s="205">
        <v>67</v>
      </c>
      <c r="AC21" s="25">
        <v>8.5</v>
      </c>
      <c r="AD21" s="205">
        <v>30.099999999999998</v>
      </c>
      <c r="AE21" s="205">
        <f t="shared" si="2"/>
        <v>30.419999999999998</v>
      </c>
      <c r="AF21" s="205">
        <f t="shared" si="3"/>
        <v>2.5245000000000002</v>
      </c>
      <c r="AG21" s="205">
        <f t="shared" si="4"/>
        <v>29.715000000000003</v>
      </c>
      <c r="AH21" s="205">
        <f t="shared" si="5"/>
        <v>21.839849999999998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</row>
    <row r="22" spans="1:95" ht="15" thickBot="1" x14ac:dyDescent="0.35">
      <c r="A22" s="3" t="s">
        <v>21</v>
      </c>
      <c r="B22" s="207" t="s">
        <v>60</v>
      </c>
      <c r="C22" s="207" t="s">
        <v>61</v>
      </c>
      <c r="D22" s="207" t="s">
        <v>62</v>
      </c>
      <c r="E22" s="207">
        <v>21</v>
      </c>
      <c r="F22" s="3">
        <v>79.599999999999994</v>
      </c>
      <c r="G22" s="4">
        <v>5.3</v>
      </c>
      <c r="H22" s="81">
        <v>2.9</v>
      </c>
      <c r="I22" s="6">
        <v>8.4</v>
      </c>
      <c r="J22" s="5">
        <v>7.5</v>
      </c>
      <c r="K22" s="3">
        <v>0.9</v>
      </c>
      <c r="L22" s="5">
        <v>130.9</v>
      </c>
      <c r="M22" s="207">
        <f t="shared" si="0"/>
        <v>82.5</v>
      </c>
      <c r="N22" s="106">
        <v>107.9</v>
      </c>
      <c r="O22" s="207">
        <f t="shared" si="1"/>
        <v>30.300000000000011</v>
      </c>
      <c r="P22" s="60">
        <v>26.9</v>
      </c>
      <c r="Q22" s="8">
        <v>62</v>
      </c>
      <c r="R22" s="8">
        <v>65.400000000000006</v>
      </c>
      <c r="S22" s="107">
        <v>2.4</v>
      </c>
      <c r="T22" s="64">
        <v>7.4</v>
      </c>
      <c r="U22" s="8">
        <v>30.1</v>
      </c>
      <c r="V22" s="108">
        <v>14.9</v>
      </c>
      <c r="W22" s="3">
        <v>1.2</v>
      </c>
      <c r="X22" s="76">
        <v>2.4</v>
      </c>
      <c r="Y22" s="72">
        <v>24.1</v>
      </c>
      <c r="Z22" s="109">
        <v>1.6</v>
      </c>
      <c r="AA22" s="205">
        <v>90.100000000000009</v>
      </c>
      <c r="AB22" s="205">
        <v>64.900000000000006</v>
      </c>
      <c r="AC22" s="24">
        <v>10.4</v>
      </c>
      <c r="AD22" s="205">
        <v>38.700000000000003</v>
      </c>
      <c r="AE22" s="205">
        <f t="shared" si="2"/>
        <v>32.405000000000001</v>
      </c>
      <c r="AF22" s="205">
        <f t="shared" si="3"/>
        <v>14.288499999999999</v>
      </c>
      <c r="AG22" s="205">
        <f t="shared" si="4"/>
        <v>11.565000000000001</v>
      </c>
      <c r="AH22" s="205">
        <f t="shared" si="5"/>
        <v>20.718050000000002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</row>
    <row r="23" spans="1:95" ht="15" thickBot="1" x14ac:dyDescent="0.35">
      <c r="A23" s="3" t="s">
        <v>41</v>
      </c>
      <c r="B23" s="207" t="s">
        <v>63</v>
      </c>
      <c r="C23" s="207" t="s">
        <v>57</v>
      </c>
      <c r="D23" s="207" t="s">
        <v>30</v>
      </c>
      <c r="E23" s="207">
        <v>17</v>
      </c>
      <c r="F23" s="3">
        <v>57.2</v>
      </c>
      <c r="G23" s="4">
        <v>5.2</v>
      </c>
      <c r="H23" s="110">
        <v>2.9</v>
      </c>
      <c r="I23" s="8">
        <v>8.3000000000000007</v>
      </c>
      <c r="J23" s="5">
        <v>8</v>
      </c>
      <c r="K23" s="3">
        <v>0.3</v>
      </c>
      <c r="L23" s="5">
        <v>131.80000000000001</v>
      </c>
      <c r="M23" s="207">
        <f t="shared" si="0"/>
        <v>83.8</v>
      </c>
      <c r="N23" s="3">
        <v>104.5</v>
      </c>
      <c r="O23" s="207">
        <f t="shared" si="1"/>
        <v>43.7</v>
      </c>
      <c r="P23" s="3">
        <v>22.6</v>
      </c>
      <c r="Q23" s="7">
        <v>61.4</v>
      </c>
      <c r="R23" s="8">
        <v>64.599999999999994</v>
      </c>
      <c r="S23" s="89">
        <v>1.1000000000000001</v>
      </c>
      <c r="T23" s="111">
        <v>6.5</v>
      </c>
      <c r="U23" s="71">
        <v>24.1</v>
      </c>
      <c r="V23" s="21">
        <v>11.2</v>
      </c>
      <c r="W23" s="107">
        <v>0</v>
      </c>
      <c r="X23" s="37">
        <v>1.1000000000000001</v>
      </c>
      <c r="Y23" s="14">
        <v>29.4</v>
      </c>
      <c r="Z23" s="14">
        <v>3.1</v>
      </c>
      <c r="AA23" s="205">
        <v>82.8</v>
      </c>
      <c r="AB23" s="205">
        <v>52.400000000000006</v>
      </c>
      <c r="AC23" s="88">
        <v>12.7</v>
      </c>
      <c r="AD23" s="205">
        <v>45.2</v>
      </c>
      <c r="AE23" s="205">
        <f t="shared" si="2"/>
        <v>30.525000000000002</v>
      </c>
      <c r="AF23" s="205">
        <f t="shared" si="3"/>
        <v>5.5748000000000006</v>
      </c>
      <c r="AG23" s="205">
        <f t="shared" si="4"/>
        <v>10.920000000000002</v>
      </c>
      <c r="AH23" s="205">
        <f t="shared" si="5"/>
        <v>17.158440000000002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</row>
    <row r="24" spans="1:95" ht="15" thickBot="1" x14ac:dyDescent="0.35">
      <c r="A24" s="3" t="s">
        <v>21</v>
      </c>
      <c r="B24" s="207" t="s">
        <v>64</v>
      </c>
      <c r="C24" s="207" t="s">
        <v>65</v>
      </c>
      <c r="D24" s="207" t="s">
        <v>20</v>
      </c>
      <c r="E24" s="207">
        <v>21</v>
      </c>
      <c r="F24" s="3">
        <v>83.4</v>
      </c>
      <c r="G24" s="4">
        <v>5.2</v>
      </c>
      <c r="H24" s="11">
        <v>3.8</v>
      </c>
      <c r="I24" s="11">
        <v>6.4</v>
      </c>
      <c r="J24" s="8">
        <v>5.7</v>
      </c>
      <c r="K24" s="3">
        <v>0.7</v>
      </c>
      <c r="L24" s="8">
        <v>125.3</v>
      </c>
      <c r="M24" s="207">
        <f t="shared" si="0"/>
        <v>57.699999999999996</v>
      </c>
      <c r="N24" s="3">
        <v>103.1</v>
      </c>
      <c r="O24" s="207">
        <f t="shared" si="1"/>
        <v>49</v>
      </c>
      <c r="P24" s="63">
        <v>25.3</v>
      </c>
      <c r="Q24" s="71">
        <v>58.1</v>
      </c>
      <c r="R24" s="8">
        <v>64.599999999999994</v>
      </c>
      <c r="S24" s="3">
        <v>6.7</v>
      </c>
      <c r="T24" s="3">
        <v>12.1</v>
      </c>
      <c r="U24" s="3">
        <v>16.600000000000001</v>
      </c>
      <c r="V24" s="113">
        <v>11.8</v>
      </c>
      <c r="W24" s="86">
        <v>0.3</v>
      </c>
      <c r="X24" s="43">
        <v>1.4</v>
      </c>
      <c r="Y24" s="93">
        <v>66.3</v>
      </c>
      <c r="Z24" s="14">
        <v>3.2</v>
      </c>
      <c r="AA24" s="205">
        <v>81</v>
      </c>
      <c r="AB24" s="205">
        <v>58.5</v>
      </c>
      <c r="AC24" s="114">
        <v>8.6</v>
      </c>
      <c r="AD24" s="205">
        <v>38.5</v>
      </c>
      <c r="AE24" s="205">
        <f t="shared" si="2"/>
        <v>33.9</v>
      </c>
      <c r="AF24" s="205">
        <f t="shared" si="3"/>
        <v>3.62</v>
      </c>
      <c r="AG24" s="205">
        <f t="shared" si="4"/>
        <v>11.73</v>
      </c>
      <c r="AH24" s="205">
        <f t="shared" si="5"/>
        <v>18.164999999999999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</row>
    <row r="25" spans="1:95" ht="15" thickBot="1" x14ac:dyDescent="0.35">
      <c r="A25" s="3" t="s">
        <v>14</v>
      </c>
      <c r="B25" s="207" t="s">
        <v>66</v>
      </c>
      <c r="C25" s="207" t="s">
        <v>67</v>
      </c>
      <c r="D25" s="207" t="s">
        <v>20</v>
      </c>
      <c r="E25" s="207">
        <v>19</v>
      </c>
      <c r="F25" s="3">
        <v>70.599999999999994</v>
      </c>
      <c r="G25" s="4">
        <v>5.2</v>
      </c>
      <c r="H25" s="5">
        <v>4.5999999999999996</v>
      </c>
      <c r="I25" s="6">
        <v>9.1</v>
      </c>
      <c r="J25" s="6">
        <v>7.1</v>
      </c>
      <c r="K25" s="41">
        <v>2</v>
      </c>
      <c r="L25" s="8">
        <v>124</v>
      </c>
      <c r="M25" s="207">
        <f t="shared" si="0"/>
        <v>50.3</v>
      </c>
      <c r="N25" s="66">
        <v>93.6</v>
      </c>
      <c r="O25" s="207">
        <f t="shared" si="1"/>
        <v>84.6</v>
      </c>
      <c r="P25" s="34">
        <v>24.9</v>
      </c>
      <c r="Q25" s="34">
        <v>56.1</v>
      </c>
      <c r="R25" s="20">
        <v>60.4</v>
      </c>
      <c r="S25" s="5">
        <v>15.1</v>
      </c>
      <c r="T25" s="6">
        <v>23.7</v>
      </c>
      <c r="U25" s="3">
        <v>10.199999999999999</v>
      </c>
      <c r="V25" s="66">
        <v>12.6</v>
      </c>
      <c r="W25" s="84">
        <v>3.3</v>
      </c>
      <c r="X25" s="3">
        <v>1.9</v>
      </c>
      <c r="Y25" s="14">
        <v>44.5</v>
      </c>
      <c r="Z25" s="14">
        <v>2.7</v>
      </c>
      <c r="AA25" s="205">
        <v>76.5</v>
      </c>
      <c r="AB25" s="205">
        <v>56.2</v>
      </c>
      <c r="AC25" s="115">
        <v>3.2</v>
      </c>
      <c r="AD25" s="205">
        <v>37.1</v>
      </c>
      <c r="AE25" s="205">
        <f t="shared" si="2"/>
        <v>29.59</v>
      </c>
      <c r="AF25" s="205">
        <f t="shared" si="3"/>
        <v>1.2571999999999997</v>
      </c>
      <c r="AG25" s="205">
        <f t="shared" si="4"/>
        <v>21.774999999999999</v>
      </c>
      <c r="AH25" s="205">
        <f t="shared" si="5"/>
        <v>18.745660000000001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</row>
    <row r="26" spans="1:95" ht="15" thickBot="1" x14ac:dyDescent="0.35">
      <c r="A26" s="3" t="s">
        <v>21</v>
      </c>
      <c r="B26" s="207" t="s">
        <v>68</v>
      </c>
      <c r="C26" s="207" t="s">
        <v>69</v>
      </c>
      <c r="D26" s="207" t="s">
        <v>70</v>
      </c>
      <c r="E26" s="207">
        <v>18</v>
      </c>
      <c r="F26" s="3">
        <v>84.4</v>
      </c>
      <c r="G26" s="116">
        <v>5.2</v>
      </c>
      <c r="H26" s="29">
        <v>2.9</v>
      </c>
      <c r="I26" s="7">
        <v>7</v>
      </c>
      <c r="J26" s="5">
        <v>7.3</v>
      </c>
      <c r="K26" s="3">
        <v>-0.3</v>
      </c>
      <c r="L26" s="6">
        <v>128.30000000000001</v>
      </c>
      <c r="M26" s="207">
        <f t="shared" si="0"/>
        <v>73.8</v>
      </c>
      <c r="N26" s="117">
        <v>109.7</v>
      </c>
      <c r="O26" s="207">
        <f t="shared" si="1"/>
        <v>24.900000000000006</v>
      </c>
      <c r="P26" s="16">
        <v>25.7</v>
      </c>
      <c r="Q26" s="19">
        <v>59.2</v>
      </c>
      <c r="R26" s="7">
        <v>63.8</v>
      </c>
      <c r="S26" s="42">
        <v>9.3000000000000007</v>
      </c>
      <c r="T26" s="63">
        <v>17.899999999999999</v>
      </c>
      <c r="U26" s="16">
        <v>23.3</v>
      </c>
      <c r="V26" s="118">
        <v>15.8</v>
      </c>
      <c r="W26" s="43">
        <v>0.4</v>
      </c>
      <c r="X26" s="119">
        <v>1</v>
      </c>
      <c r="Y26" s="14">
        <v>42.7</v>
      </c>
      <c r="Z26" s="13">
        <v>2.1</v>
      </c>
      <c r="AA26" s="205">
        <v>81.8</v>
      </c>
      <c r="AB26" s="205">
        <v>51</v>
      </c>
      <c r="AC26" s="14">
        <v>6.1</v>
      </c>
      <c r="AD26" s="205">
        <v>52.5</v>
      </c>
      <c r="AE26" s="205">
        <f t="shared" si="2"/>
        <v>32.464999999999996</v>
      </c>
      <c r="AF26" s="205">
        <f t="shared" si="3"/>
        <v>9.5376999999999992</v>
      </c>
      <c r="AG26" s="205">
        <f t="shared" si="4"/>
        <v>7.8250000000000002</v>
      </c>
      <c r="AH26" s="205">
        <f t="shared" si="5"/>
        <v>18.194809999999997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</row>
    <row r="27" spans="1:95" ht="15" thickBot="1" x14ac:dyDescent="0.35">
      <c r="A27" s="3" t="s">
        <v>14</v>
      </c>
      <c r="B27" s="207" t="s">
        <v>71</v>
      </c>
      <c r="C27" s="207" t="s">
        <v>72</v>
      </c>
      <c r="D27" s="207" t="s">
        <v>27</v>
      </c>
      <c r="E27" s="207">
        <v>22</v>
      </c>
      <c r="F27" s="3">
        <v>70.7</v>
      </c>
      <c r="G27" s="116">
        <v>5.0999999999999996</v>
      </c>
      <c r="H27" s="3">
        <v>2.4</v>
      </c>
      <c r="I27" s="8">
        <v>8.1</v>
      </c>
      <c r="J27" s="5">
        <v>7.7</v>
      </c>
      <c r="K27" s="3">
        <v>0.3</v>
      </c>
      <c r="L27" s="5">
        <v>134.1</v>
      </c>
      <c r="M27" s="207">
        <f t="shared" si="0"/>
        <v>86.5</v>
      </c>
      <c r="N27" s="117">
        <v>109.7</v>
      </c>
      <c r="O27" s="207">
        <f t="shared" si="1"/>
        <v>24.900000000000006</v>
      </c>
      <c r="P27" s="58">
        <v>23.2</v>
      </c>
      <c r="Q27" s="9">
        <v>60</v>
      </c>
      <c r="R27" s="6">
        <v>66.8</v>
      </c>
      <c r="S27" s="3">
        <v>4.4000000000000004</v>
      </c>
      <c r="T27" s="111">
        <v>6.6</v>
      </c>
      <c r="U27" s="3">
        <v>15.8</v>
      </c>
      <c r="V27" s="30">
        <v>9.5</v>
      </c>
      <c r="W27" s="107">
        <v>0</v>
      </c>
      <c r="X27" s="3">
        <v>2.2000000000000002</v>
      </c>
      <c r="Y27" s="77">
        <v>68</v>
      </c>
      <c r="Z27" s="120">
        <v>2</v>
      </c>
      <c r="AA27" s="205">
        <v>83.6</v>
      </c>
      <c r="AB27" s="205">
        <v>57.099999999999994</v>
      </c>
      <c r="AC27" s="14">
        <v>7.9</v>
      </c>
      <c r="AD27" s="205">
        <v>42.5</v>
      </c>
      <c r="AE27" s="205">
        <f t="shared" si="2"/>
        <v>33.85</v>
      </c>
      <c r="AF27" s="205">
        <f t="shared" si="3"/>
        <v>2.5991999999999997</v>
      </c>
      <c r="AG27" s="205">
        <f t="shared" si="4"/>
        <v>9.1300000000000008</v>
      </c>
      <c r="AH27" s="205">
        <f t="shared" si="5"/>
        <v>17.058759999999999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</row>
    <row r="28" spans="1:95" ht="15" thickBot="1" x14ac:dyDescent="0.35">
      <c r="A28" s="3" t="s">
        <v>41</v>
      </c>
      <c r="B28" s="207" t="s">
        <v>73</v>
      </c>
      <c r="C28" s="207" t="s">
        <v>74</v>
      </c>
      <c r="D28" s="207" t="s">
        <v>75</v>
      </c>
      <c r="E28" s="207">
        <v>22</v>
      </c>
      <c r="F28" s="3">
        <v>83.6</v>
      </c>
      <c r="G28" s="116">
        <v>5.0999999999999996</v>
      </c>
      <c r="H28" s="6">
        <v>4.2</v>
      </c>
      <c r="I28" s="9">
        <v>6.1</v>
      </c>
      <c r="J28" s="9">
        <v>4.4000000000000004</v>
      </c>
      <c r="K28" s="110">
        <v>1.7</v>
      </c>
      <c r="L28" s="11">
        <v>120.6</v>
      </c>
      <c r="M28" s="207">
        <f t="shared" si="0"/>
        <v>30.2</v>
      </c>
      <c r="N28" s="121">
        <v>97.7</v>
      </c>
      <c r="O28" s="207">
        <f t="shared" si="1"/>
        <v>71.2</v>
      </c>
      <c r="P28" s="19">
        <v>27.3</v>
      </c>
      <c r="Q28" s="3">
        <v>50.7</v>
      </c>
      <c r="R28" s="18">
        <v>58.6</v>
      </c>
      <c r="S28" s="58">
        <v>7.7</v>
      </c>
      <c r="T28" s="16">
        <v>18.3</v>
      </c>
      <c r="U28" s="3">
        <v>14.8</v>
      </c>
      <c r="V28" s="10">
        <v>13</v>
      </c>
      <c r="W28" s="3">
        <v>1.6</v>
      </c>
      <c r="X28" s="37">
        <v>1.1000000000000001</v>
      </c>
      <c r="Y28" s="39">
        <v>54.7</v>
      </c>
      <c r="Z28" s="14">
        <v>3</v>
      </c>
      <c r="AA28" s="205">
        <v>84.6</v>
      </c>
      <c r="AB28" s="205">
        <v>53.2</v>
      </c>
      <c r="AC28" s="14">
        <v>5.5</v>
      </c>
      <c r="AD28" s="205">
        <v>28.4</v>
      </c>
      <c r="AE28" s="205">
        <f t="shared" si="2"/>
        <v>31.549999999999997</v>
      </c>
      <c r="AF28" s="205">
        <f t="shared" si="3"/>
        <v>3.3740999999999994</v>
      </c>
      <c r="AG28" s="205">
        <f t="shared" si="4"/>
        <v>16.155000000000001</v>
      </c>
      <c r="AH28" s="205">
        <f t="shared" si="5"/>
        <v>18.478729999999999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</row>
    <row r="29" spans="1:95" ht="15" thickBot="1" x14ac:dyDescent="0.35">
      <c r="A29" s="3" t="s">
        <v>41</v>
      </c>
      <c r="B29" s="207" t="s">
        <v>76</v>
      </c>
      <c r="C29" s="207" t="s">
        <v>77</v>
      </c>
      <c r="D29" s="207" t="s">
        <v>78</v>
      </c>
      <c r="E29" s="207">
        <v>15</v>
      </c>
      <c r="F29" s="3">
        <v>51</v>
      </c>
      <c r="G29" s="116">
        <v>5.0999999999999996</v>
      </c>
      <c r="H29" s="3">
        <v>1.9</v>
      </c>
      <c r="I29" s="5">
        <v>10.1</v>
      </c>
      <c r="J29" s="5">
        <v>10</v>
      </c>
      <c r="K29" s="3">
        <v>0.1</v>
      </c>
      <c r="L29" s="6">
        <v>128.19999999999999</v>
      </c>
      <c r="M29" s="207">
        <f t="shared" si="0"/>
        <v>73.099999999999994</v>
      </c>
      <c r="N29" s="122">
        <v>111.2</v>
      </c>
      <c r="O29" s="207">
        <f t="shared" si="1"/>
        <v>18.200000000000003</v>
      </c>
      <c r="P29" s="5">
        <v>34.1</v>
      </c>
      <c r="Q29" s="11">
        <v>60.6</v>
      </c>
      <c r="R29" s="6">
        <v>67.099999999999994</v>
      </c>
      <c r="S29" s="123">
        <v>2.5</v>
      </c>
      <c r="T29" s="3">
        <v>12.2</v>
      </c>
      <c r="U29" s="3">
        <v>16.7</v>
      </c>
      <c r="V29" s="113">
        <v>11.8</v>
      </c>
      <c r="W29" s="43">
        <v>0.4</v>
      </c>
      <c r="X29" s="18">
        <v>2.7</v>
      </c>
      <c r="Y29" s="40">
        <v>60.8</v>
      </c>
      <c r="Z29" s="14">
        <v>3.1</v>
      </c>
      <c r="AA29" s="205">
        <v>85.1</v>
      </c>
      <c r="AB29" s="205">
        <v>54.900000000000006</v>
      </c>
      <c r="AC29" s="14">
        <v>5.5</v>
      </c>
      <c r="AD29" s="205">
        <v>56.8</v>
      </c>
      <c r="AE29" s="205">
        <f t="shared" si="2"/>
        <v>36.61</v>
      </c>
      <c r="AF29" s="205">
        <f t="shared" si="3"/>
        <v>3.6199999999999988</v>
      </c>
      <c r="AG29" s="205">
        <f t="shared" si="4"/>
        <v>9.6850000000000005</v>
      </c>
      <c r="AH29" s="205">
        <f t="shared" si="5"/>
        <v>18.6355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</row>
    <row r="30" spans="1:95" ht="15" thickBot="1" x14ac:dyDescent="0.35">
      <c r="A30" s="3" t="s">
        <v>21</v>
      </c>
      <c r="B30" s="207" t="s">
        <v>79</v>
      </c>
      <c r="C30" s="207" t="s">
        <v>19</v>
      </c>
      <c r="D30" s="207" t="s">
        <v>20</v>
      </c>
      <c r="E30" s="207">
        <v>18</v>
      </c>
      <c r="F30" s="3">
        <v>64.900000000000006</v>
      </c>
      <c r="G30" s="116">
        <v>5</v>
      </c>
      <c r="H30" s="11">
        <v>3.7</v>
      </c>
      <c r="I30" s="11">
        <v>6.7</v>
      </c>
      <c r="J30" s="9">
        <v>4.5</v>
      </c>
      <c r="K30" s="46">
        <v>2.2999999999999998</v>
      </c>
      <c r="L30" s="5">
        <v>130.80000000000001</v>
      </c>
      <c r="M30" s="207">
        <f t="shared" si="0"/>
        <v>81.8</v>
      </c>
      <c r="N30" s="3">
        <v>100.4</v>
      </c>
      <c r="O30" s="207">
        <f t="shared" si="1"/>
        <v>59.8</v>
      </c>
      <c r="P30" s="3">
        <v>21.1</v>
      </c>
      <c r="Q30" s="29">
        <v>54.2</v>
      </c>
      <c r="R30" s="63">
        <v>59.6</v>
      </c>
      <c r="S30" s="3">
        <v>5.2</v>
      </c>
      <c r="T30" s="86">
        <v>9.1999999999999993</v>
      </c>
      <c r="U30" s="58">
        <v>18.899999999999999</v>
      </c>
      <c r="V30" s="113">
        <v>12</v>
      </c>
      <c r="W30" s="107">
        <v>0</v>
      </c>
      <c r="X30" s="43">
        <v>1.4</v>
      </c>
      <c r="Y30" s="14">
        <v>43</v>
      </c>
      <c r="Z30" s="14">
        <v>2.9</v>
      </c>
      <c r="AA30" s="205">
        <v>81.8</v>
      </c>
      <c r="AB30" s="205">
        <v>60.4</v>
      </c>
      <c r="AC30" s="12">
        <v>8.1999999999999993</v>
      </c>
      <c r="AD30" s="205">
        <v>30.8</v>
      </c>
      <c r="AE30" s="205">
        <f t="shared" si="2"/>
        <v>29.365000000000002</v>
      </c>
      <c r="AF30" s="205">
        <f t="shared" si="3"/>
        <v>4.6290999999999993</v>
      </c>
      <c r="AG30" s="205">
        <f t="shared" si="4"/>
        <v>13.475</v>
      </c>
      <c r="AH30" s="205">
        <f t="shared" si="5"/>
        <v>17.177230000000002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 spans="1:95" ht="15" thickBot="1" x14ac:dyDescent="0.35">
      <c r="A31" s="3" t="s">
        <v>21</v>
      </c>
      <c r="B31" s="207" t="s">
        <v>80</v>
      </c>
      <c r="C31" s="207" t="s">
        <v>81</v>
      </c>
      <c r="D31" s="207" t="s">
        <v>75</v>
      </c>
      <c r="E31" s="207">
        <v>19</v>
      </c>
      <c r="F31" s="3">
        <v>59.3</v>
      </c>
      <c r="G31" s="116">
        <v>5</v>
      </c>
      <c r="H31" s="5">
        <v>4.7</v>
      </c>
      <c r="I31" s="5">
        <v>10.6</v>
      </c>
      <c r="J31" s="6">
        <v>7.1</v>
      </c>
      <c r="K31" s="19">
        <v>3.5</v>
      </c>
      <c r="L31" s="6">
        <v>128.1</v>
      </c>
      <c r="M31" s="207">
        <f t="shared" si="0"/>
        <v>71.099999999999994</v>
      </c>
      <c r="N31" s="125">
        <v>87.2</v>
      </c>
      <c r="O31" s="207">
        <f t="shared" si="1"/>
        <v>98</v>
      </c>
      <c r="P31" s="71">
        <v>26.2</v>
      </c>
      <c r="Q31" s="71">
        <v>58</v>
      </c>
      <c r="R31" s="19">
        <v>62</v>
      </c>
      <c r="S31" s="83">
        <v>8.3000000000000007</v>
      </c>
      <c r="T31" s="8">
        <v>22.8</v>
      </c>
      <c r="U31" s="3">
        <v>15.3</v>
      </c>
      <c r="V31" s="99">
        <v>10.4</v>
      </c>
      <c r="W31" s="3">
        <v>2.7</v>
      </c>
      <c r="X31" s="37">
        <v>1.1000000000000001</v>
      </c>
      <c r="Y31" s="14">
        <v>42.9</v>
      </c>
      <c r="Z31" s="14">
        <v>3.4</v>
      </c>
      <c r="AA31" s="205">
        <v>77.5</v>
      </c>
      <c r="AB31" s="205">
        <v>59.099999999999994</v>
      </c>
      <c r="AC31" s="14">
        <v>3.5</v>
      </c>
      <c r="AD31" s="205">
        <v>34.300000000000004</v>
      </c>
      <c r="AE31" s="205">
        <f t="shared" si="2"/>
        <v>30.945</v>
      </c>
      <c r="AF31" s="205">
        <f t="shared" si="3"/>
        <v>2.6532000000000004</v>
      </c>
      <c r="AG31" s="205">
        <f t="shared" si="4"/>
        <v>23.21</v>
      </c>
      <c r="AH31" s="205">
        <f t="shared" si="5"/>
        <v>20.136960000000002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 spans="1:95" ht="15" thickBot="1" x14ac:dyDescent="0.35">
      <c r="A32" s="3" t="s">
        <v>24</v>
      </c>
      <c r="B32" s="207" t="s">
        <v>82</v>
      </c>
      <c r="C32" s="207" t="s">
        <v>83</v>
      </c>
      <c r="D32" s="207" t="s">
        <v>27</v>
      </c>
      <c r="E32" s="207">
        <v>20</v>
      </c>
      <c r="F32" s="3">
        <v>81.2</v>
      </c>
      <c r="G32" s="116">
        <v>4.9000000000000004</v>
      </c>
      <c r="H32" s="60">
        <v>3.5</v>
      </c>
      <c r="I32" s="6">
        <v>8.4</v>
      </c>
      <c r="J32" s="6">
        <v>6.8</v>
      </c>
      <c r="K32" s="81">
        <v>1.7</v>
      </c>
      <c r="L32" s="11">
        <v>121.4</v>
      </c>
      <c r="M32" s="207">
        <f t="shared" si="0"/>
        <v>36.9</v>
      </c>
      <c r="N32" s="3">
        <v>103</v>
      </c>
      <c r="O32" s="207">
        <f t="shared" si="1"/>
        <v>49.7</v>
      </c>
      <c r="P32" s="18">
        <v>24.6</v>
      </c>
      <c r="Q32" s="19">
        <v>59.4</v>
      </c>
      <c r="R32" s="11">
        <v>63.3</v>
      </c>
      <c r="S32" s="123">
        <v>2.5</v>
      </c>
      <c r="T32" s="55">
        <v>16.5</v>
      </c>
      <c r="U32" s="3">
        <v>13.4</v>
      </c>
      <c r="V32" s="3">
        <v>16.3</v>
      </c>
      <c r="W32" s="34">
        <v>4.0999999999999996</v>
      </c>
      <c r="X32" s="3">
        <v>1.7</v>
      </c>
      <c r="Y32" s="14">
        <v>44.9</v>
      </c>
      <c r="Z32" s="120">
        <v>2</v>
      </c>
      <c r="AA32" s="205">
        <v>77.2</v>
      </c>
      <c r="AB32" s="205">
        <v>58.599999999999994</v>
      </c>
      <c r="AC32" s="47">
        <v>9.5</v>
      </c>
      <c r="AD32" s="205">
        <v>40.400000000000006</v>
      </c>
      <c r="AE32" s="205">
        <f t="shared" si="2"/>
        <v>30.685000000000002</v>
      </c>
      <c r="AF32" s="205">
        <f t="shared" si="3"/>
        <v>1.61</v>
      </c>
      <c r="AG32" s="205">
        <f t="shared" si="4"/>
        <v>16.835000000000001</v>
      </c>
      <c r="AH32" s="205">
        <f t="shared" si="5"/>
        <v>17.807500000000001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 spans="1:95" ht="15" thickBot="1" x14ac:dyDescent="0.35">
      <c r="A33" s="3" t="s">
        <v>41</v>
      </c>
      <c r="B33" s="207" t="s">
        <v>84</v>
      </c>
      <c r="C33" s="207" t="s">
        <v>26</v>
      </c>
      <c r="D33" s="207" t="s">
        <v>27</v>
      </c>
      <c r="E33" s="207">
        <v>21</v>
      </c>
      <c r="F33" s="3">
        <v>82.1</v>
      </c>
      <c r="G33" s="116">
        <v>4.9000000000000004</v>
      </c>
      <c r="H33" s="5">
        <v>5</v>
      </c>
      <c r="I33" s="7">
        <v>7</v>
      </c>
      <c r="J33" s="11">
        <v>4.7</v>
      </c>
      <c r="K33" s="34">
        <v>2.2999999999999998</v>
      </c>
      <c r="L33" s="63">
        <v>114</v>
      </c>
      <c r="M33" s="207">
        <f t="shared" si="0"/>
        <v>5.3</v>
      </c>
      <c r="N33" s="74">
        <v>92.4</v>
      </c>
      <c r="O33" s="207">
        <f t="shared" si="1"/>
        <v>89.3</v>
      </c>
      <c r="P33" s="6">
        <v>30.2</v>
      </c>
      <c r="Q33" s="27">
        <v>57.1</v>
      </c>
      <c r="R33" s="58">
        <v>56.9</v>
      </c>
      <c r="S33" s="6">
        <v>13.6</v>
      </c>
      <c r="T33" s="11">
        <v>20.8</v>
      </c>
      <c r="U33" s="3">
        <v>12.6</v>
      </c>
      <c r="V33" s="126">
        <v>14.2</v>
      </c>
      <c r="W33" s="71">
        <v>4.8</v>
      </c>
      <c r="X33" s="3">
        <v>2.1</v>
      </c>
      <c r="Y33" s="127">
        <v>25.1</v>
      </c>
      <c r="Z33" s="14">
        <v>3.5</v>
      </c>
      <c r="AA33" s="205">
        <v>52.2</v>
      </c>
      <c r="AB33" s="205">
        <v>59.9</v>
      </c>
      <c r="AC33" s="14">
        <v>3.7</v>
      </c>
      <c r="AD33" s="205">
        <v>25.5</v>
      </c>
      <c r="AE33" s="205">
        <f t="shared" si="2"/>
        <v>28.664999999999999</v>
      </c>
      <c r="AF33" s="205">
        <f t="shared" si="3"/>
        <v>2.0361000000000002</v>
      </c>
      <c r="AG33" s="205">
        <f t="shared" si="4"/>
        <v>23.504999999999999</v>
      </c>
      <c r="AH33" s="205">
        <f t="shared" si="5"/>
        <v>19.128330000000002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</row>
    <row r="34" spans="1:95" ht="15" thickBot="1" x14ac:dyDescent="0.35">
      <c r="A34" s="3" t="s">
        <v>24</v>
      </c>
      <c r="B34" s="207" t="s">
        <v>85</v>
      </c>
      <c r="C34" s="207" t="s">
        <v>86</v>
      </c>
      <c r="D34" s="207" t="s">
        <v>30</v>
      </c>
      <c r="E34" s="207">
        <v>22</v>
      </c>
      <c r="F34" s="3">
        <v>78</v>
      </c>
      <c r="G34" s="116">
        <v>4.9000000000000004</v>
      </c>
      <c r="H34" s="8">
        <v>3.9</v>
      </c>
      <c r="I34" s="5">
        <v>10.6</v>
      </c>
      <c r="J34" s="5">
        <v>7.2</v>
      </c>
      <c r="K34" s="60">
        <v>3.4</v>
      </c>
      <c r="L34" s="8">
        <v>123.6</v>
      </c>
      <c r="M34" s="207">
        <f t="shared" si="0"/>
        <v>46.300000000000004</v>
      </c>
      <c r="N34" s="128">
        <v>97.9</v>
      </c>
      <c r="O34" s="207">
        <f t="shared" si="1"/>
        <v>70.5</v>
      </c>
      <c r="P34" s="20">
        <v>26</v>
      </c>
      <c r="Q34" s="7">
        <v>61.2</v>
      </c>
      <c r="R34" s="8">
        <v>65.3</v>
      </c>
      <c r="S34" s="3">
        <v>5.8</v>
      </c>
      <c r="T34" s="11">
        <v>20.6</v>
      </c>
      <c r="U34" s="46">
        <v>21.7</v>
      </c>
      <c r="V34" s="3">
        <v>19</v>
      </c>
      <c r="W34" s="3">
        <v>1.1000000000000001</v>
      </c>
      <c r="X34" s="9">
        <v>3.3</v>
      </c>
      <c r="Y34" s="114">
        <v>49.2</v>
      </c>
      <c r="Z34" s="14">
        <v>3.2</v>
      </c>
      <c r="AA34" s="205">
        <v>79</v>
      </c>
      <c r="AB34" s="205">
        <v>65.600000000000009</v>
      </c>
      <c r="AC34" s="14">
        <v>5.2</v>
      </c>
      <c r="AD34" s="205">
        <v>32.300000000000004</v>
      </c>
      <c r="AE34" s="205">
        <f t="shared" si="2"/>
        <v>33.28</v>
      </c>
      <c r="AF34" s="205">
        <f t="shared" si="3"/>
        <v>7.2428000000000008</v>
      </c>
      <c r="AG34" s="205">
        <f t="shared" si="4"/>
        <v>19.664999999999999</v>
      </c>
      <c r="AH34" s="205">
        <f t="shared" si="5"/>
        <v>21.384340000000002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 spans="1:95" ht="15" thickBot="1" x14ac:dyDescent="0.35">
      <c r="A35" s="3" t="s">
        <v>21</v>
      </c>
      <c r="B35" s="207" t="s">
        <v>87</v>
      </c>
      <c r="C35" s="207" t="s">
        <v>48</v>
      </c>
      <c r="D35" s="207" t="s">
        <v>27</v>
      </c>
      <c r="E35" s="207">
        <v>19</v>
      </c>
      <c r="F35" s="3">
        <v>66.3</v>
      </c>
      <c r="G35" s="116">
        <v>4.9000000000000004</v>
      </c>
      <c r="H35" s="5">
        <v>4.7</v>
      </c>
      <c r="I35" s="5">
        <v>11</v>
      </c>
      <c r="J35" s="8">
        <v>5.5</v>
      </c>
      <c r="K35" s="6">
        <v>5.4</v>
      </c>
      <c r="L35" s="5">
        <v>130.1</v>
      </c>
      <c r="M35" s="207">
        <f t="shared" si="0"/>
        <v>79.100000000000009</v>
      </c>
      <c r="N35" s="102">
        <v>89.8</v>
      </c>
      <c r="O35" s="207">
        <f t="shared" si="1"/>
        <v>93.3</v>
      </c>
      <c r="P35" s="3">
        <v>21.8</v>
      </c>
      <c r="Q35" s="3">
        <v>52.5</v>
      </c>
      <c r="R35" s="3">
        <v>55</v>
      </c>
      <c r="S35" s="3">
        <v>5.3</v>
      </c>
      <c r="T35" s="3">
        <v>9.8000000000000007</v>
      </c>
      <c r="U35" s="8">
        <v>29.4</v>
      </c>
      <c r="V35" s="125">
        <v>9</v>
      </c>
      <c r="W35" s="67">
        <v>0.2</v>
      </c>
      <c r="X35" s="5">
        <v>4.4000000000000004</v>
      </c>
      <c r="Y35" s="115">
        <v>27.9</v>
      </c>
      <c r="Z35" s="92">
        <v>2.2000000000000002</v>
      </c>
      <c r="AA35" s="205">
        <v>70.199999999999989</v>
      </c>
      <c r="AB35" s="205">
        <v>55.800000000000004</v>
      </c>
      <c r="AC35" s="14">
        <v>6.5</v>
      </c>
      <c r="AD35" s="205">
        <v>30.3</v>
      </c>
      <c r="AE35" s="205">
        <f t="shared" si="2"/>
        <v>28.47</v>
      </c>
      <c r="AF35" s="205">
        <f t="shared" si="3"/>
        <v>3.2130999999999998</v>
      </c>
      <c r="AG35" s="205">
        <f t="shared" si="4"/>
        <v>23.824999999999999</v>
      </c>
      <c r="AH35" s="205">
        <f t="shared" si="5"/>
        <v>19.49943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 spans="1:95" ht="15" thickBot="1" x14ac:dyDescent="0.35">
      <c r="A36" s="3" t="s">
        <v>21</v>
      </c>
      <c r="B36" s="207" t="s">
        <v>88</v>
      </c>
      <c r="C36" s="207" t="s">
        <v>89</v>
      </c>
      <c r="D36" s="207" t="s">
        <v>20</v>
      </c>
      <c r="E36" s="207">
        <v>21</v>
      </c>
      <c r="F36" s="3">
        <v>69.8</v>
      </c>
      <c r="G36" s="116">
        <v>4.9000000000000004</v>
      </c>
      <c r="H36" s="11">
        <v>3.7</v>
      </c>
      <c r="I36" s="7">
        <v>7.4</v>
      </c>
      <c r="J36" s="6">
        <v>6.3</v>
      </c>
      <c r="K36" s="3">
        <v>1.2</v>
      </c>
      <c r="L36" s="6">
        <v>128.5</v>
      </c>
      <c r="M36" s="207">
        <f t="shared" si="0"/>
        <v>75.8</v>
      </c>
      <c r="N36" s="3">
        <v>99.1</v>
      </c>
      <c r="O36" s="207">
        <f t="shared" si="1"/>
        <v>65.8</v>
      </c>
      <c r="P36" s="110">
        <v>23.8</v>
      </c>
      <c r="Q36" s="11">
        <v>60.9</v>
      </c>
      <c r="R36" s="6">
        <v>66.5</v>
      </c>
      <c r="S36" s="3">
        <v>5.4</v>
      </c>
      <c r="T36" s="18">
        <v>17</v>
      </c>
      <c r="U36" s="107">
        <v>7.5</v>
      </c>
      <c r="V36" s="21">
        <v>11.3</v>
      </c>
      <c r="W36" s="3">
        <v>1.8</v>
      </c>
      <c r="X36" s="37">
        <v>1.1000000000000001</v>
      </c>
      <c r="Y36" s="12">
        <v>47.7</v>
      </c>
      <c r="Z36" s="129">
        <v>3.6</v>
      </c>
      <c r="AA36" s="205">
        <v>86.6</v>
      </c>
      <c r="AB36" s="205">
        <v>56.699999999999996</v>
      </c>
      <c r="AC36" s="78">
        <v>8.6999999999999993</v>
      </c>
      <c r="AD36" s="205">
        <v>44.7</v>
      </c>
      <c r="AE36" s="205">
        <f t="shared" si="2"/>
        <v>30.64</v>
      </c>
      <c r="AF36" s="205">
        <f t="shared" si="3"/>
        <v>0.3607999999999999</v>
      </c>
      <c r="AG36" s="205">
        <f t="shared" si="4"/>
        <v>15.899999999999999</v>
      </c>
      <c r="AH36" s="205">
        <f t="shared" si="5"/>
        <v>17.134239999999998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 spans="1:95" ht="15" thickBot="1" x14ac:dyDescent="0.35">
      <c r="A37" s="3" t="s">
        <v>21</v>
      </c>
      <c r="B37" s="207" t="s">
        <v>90</v>
      </c>
      <c r="C37" s="207" t="s">
        <v>91</v>
      </c>
      <c r="D37" s="207" t="s">
        <v>20</v>
      </c>
      <c r="E37" s="207">
        <v>22</v>
      </c>
      <c r="F37" s="3">
        <v>74.599999999999994</v>
      </c>
      <c r="G37" s="116">
        <v>4.9000000000000004</v>
      </c>
      <c r="H37" s="63">
        <v>3.2</v>
      </c>
      <c r="I37" s="7">
        <v>6.9</v>
      </c>
      <c r="J37" s="8">
        <v>5.8</v>
      </c>
      <c r="K37" s="3">
        <v>1.1000000000000001</v>
      </c>
      <c r="L37" s="9">
        <v>119.7</v>
      </c>
      <c r="M37" s="207">
        <f t="shared" si="0"/>
        <v>25.5</v>
      </c>
      <c r="N37" s="3">
        <v>103.3</v>
      </c>
      <c r="O37" s="207">
        <f t="shared" si="1"/>
        <v>48.4</v>
      </c>
      <c r="P37" s="8">
        <v>30</v>
      </c>
      <c r="Q37" s="3">
        <v>53.1</v>
      </c>
      <c r="R37" s="34">
        <v>59</v>
      </c>
      <c r="S37" s="52">
        <v>2.1</v>
      </c>
      <c r="T37" s="3">
        <v>10.9</v>
      </c>
      <c r="U37" s="60">
        <v>25.5</v>
      </c>
      <c r="V37" s="21">
        <v>11.2</v>
      </c>
      <c r="W37" s="67">
        <v>0.2</v>
      </c>
      <c r="X37" s="3">
        <v>1.7</v>
      </c>
      <c r="Y37" s="14">
        <v>44.5</v>
      </c>
      <c r="Z37" s="14">
        <v>2.7</v>
      </c>
      <c r="AA37" s="205">
        <v>82.5</v>
      </c>
      <c r="AB37" s="205">
        <v>56.2</v>
      </c>
      <c r="AC37" s="130">
        <v>9</v>
      </c>
      <c r="AD37" s="205">
        <v>31.4</v>
      </c>
      <c r="AE37" s="205">
        <f t="shared" si="2"/>
        <v>33.005000000000003</v>
      </c>
      <c r="AF37" s="205">
        <f t="shared" si="3"/>
        <v>5.9135999999999997</v>
      </c>
      <c r="AG37" s="205">
        <f t="shared" si="4"/>
        <v>12.094999999999999</v>
      </c>
      <c r="AH37" s="205">
        <f t="shared" si="5"/>
        <v>18.604580000000002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 spans="1:95" ht="15" thickBot="1" x14ac:dyDescent="0.35">
      <c r="A38" s="3" t="s">
        <v>24</v>
      </c>
      <c r="B38" s="207" t="s">
        <v>92</v>
      </c>
      <c r="C38" s="207" t="s">
        <v>36</v>
      </c>
      <c r="D38" s="207" t="s">
        <v>27</v>
      </c>
      <c r="E38" s="207">
        <v>21</v>
      </c>
      <c r="F38" s="3">
        <v>85.3</v>
      </c>
      <c r="G38" s="116">
        <v>4.9000000000000004</v>
      </c>
      <c r="H38" s="8">
        <v>4</v>
      </c>
      <c r="I38" s="9">
        <v>6</v>
      </c>
      <c r="J38" s="7">
        <v>5.0999999999999996</v>
      </c>
      <c r="K38" s="3">
        <v>0.9</v>
      </c>
      <c r="L38" s="11">
        <v>120.7</v>
      </c>
      <c r="M38" s="207">
        <f t="shared" si="0"/>
        <v>31.5</v>
      </c>
      <c r="N38" s="3">
        <v>100.7</v>
      </c>
      <c r="O38" s="207">
        <f t="shared" si="1"/>
        <v>59.1</v>
      </c>
      <c r="P38" s="46">
        <v>24.7</v>
      </c>
      <c r="Q38" s="3">
        <v>52.8</v>
      </c>
      <c r="R38" s="76">
        <v>56.5</v>
      </c>
      <c r="S38" s="131">
        <v>3.1</v>
      </c>
      <c r="T38" s="85">
        <v>8.4</v>
      </c>
      <c r="U38" s="9">
        <v>26.8</v>
      </c>
      <c r="V38" s="126">
        <v>14.2</v>
      </c>
      <c r="W38" s="67">
        <v>0.2</v>
      </c>
      <c r="X38" s="3">
        <v>2</v>
      </c>
      <c r="Y38" s="132">
        <v>27.1</v>
      </c>
      <c r="Z38" s="62">
        <v>1.5</v>
      </c>
      <c r="AA38" s="205">
        <v>80.800000000000011</v>
      </c>
      <c r="AB38" s="205">
        <v>47.5</v>
      </c>
      <c r="AC38" s="14">
        <v>6.9</v>
      </c>
      <c r="AD38" s="205">
        <v>43.2</v>
      </c>
      <c r="AE38" s="205">
        <f t="shared" si="2"/>
        <v>29.245000000000001</v>
      </c>
      <c r="AF38" s="205">
        <f t="shared" si="3"/>
        <v>10.797500000000001</v>
      </c>
      <c r="AG38" s="205">
        <f t="shared" si="4"/>
        <v>13.645</v>
      </c>
      <c r="AH38" s="205">
        <f t="shared" si="5"/>
        <v>19.030750000000001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 spans="1:95" ht="15" thickBot="1" x14ac:dyDescent="0.35">
      <c r="A39" s="3" t="s">
        <v>21</v>
      </c>
      <c r="B39" s="207" t="s">
        <v>93</v>
      </c>
      <c r="C39" s="207" t="s">
        <v>48</v>
      </c>
      <c r="D39" s="207" t="s">
        <v>27</v>
      </c>
      <c r="E39" s="207">
        <v>22</v>
      </c>
      <c r="F39" s="3">
        <v>78.2</v>
      </c>
      <c r="G39" s="116">
        <v>4.9000000000000004</v>
      </c>
      <c r="H39" s="5">
        <v>5.0999999999999996</v>
      </c>
      <c r="I39" s="5">
        <v>11.8</v>
      </c>
      <c r="J39" s="6">
        <v>6.6</v>
      </c>
      <c r="K39" s="6">
        <v>5.2</v>
      </c>
      <c r="L39" s="11">
        <v>120.7</v>
      </c>
      <c r="M39" s="207">
        <f t="shared" si="0"/>
        <v>31.5</v>
      </c>
      <c r="N39" s="125">
        <v>87.6</v>
      </c>
      <c r="O39" s="207">
        <f t="shared" si="1"/>
        <v>97.4</v>
      </c>
      <c r="P39" s="11">
        <v>28.3</v>
      </c>
      <c r="Q39" s="83">
        <v>54.7</v>
      </c>
      <c r="R39" s="34">
        <v>59.1</v>
      </c>
      <c r="S39" s="58">
        <v>7.7</v>
      </c>
      <c r="T39" s="7">
        <v>21.6</v>
      </c>
      <c r="U39" s="11">
        <v>27.6</v>
      </c>
      <c r="V39" s="3">
        <v>17.399999999999999</v>
      </c>
      <c r="W39" s="29">
        <v>3.4</v>
      </c>
      <c r="X39" s="42">
        <v>2.8</v>
      </c>
      <c r="Y39" s="24">
        <v>55.9</v>
      </c>
      <c r="Z39" s="14">
        <v>2.9</v>
      </c>
      <c r="AA39" s="205">
        <v>71.8</v>
      </c>
      <c r="AB39" s="205">
        <v>52.6</v>
      </c>
      <c r="AC39" s="14">
        <v>5.3</v>
      </c>
      <c r="AD39" s="205">
        <v>40.6</v>
      </c>
      <c r="AE39" s="205">
        <f t="shared" si="2"/>
        <v>33.975000000000001</v>
      </c>
      <c r="AF39" s="205">
        <f t="shared" si="3"/>
        <v>13.363500000000002</v>
      </c>
      <c r="AG39" s="205">
        <f t="shared" si="4"/>
        <v>26.28</v>
      </c>
      <c r="AH39" s="205">
        <f t="shared" si="5"/>
        <v>25.483050000000002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 spans="1:95" ht="15" thickBot="1" x14ac:dyDescent="0.35">
      <c r="A40" s="3" t="s">
        <v>21</v>
      </c>
      <c r="B40" s="207" t="s">
        <v>94</v>
      </c>
      <c r="C40" s="207" t="s">
        <v>95</v>
      </c>
      <c r="D40" s="207" t="s">
        <v>96</v>
      </c>
      <c r="E40" s="207">
        <v>20</v>
      </c>
      <c r="F40" s="3">
        <v>73.900000000000006</v>
      </c>
      <c r="G40" s="116">
        <v>4.8</v>
      </c>
      <c r="H40" s="3">
        <v>2.4</v>
      </c>
      <c r="I40" s="9">
        <v>6.1</v>
      </c>
      <c r="J40" s="6">
        <v>6.7</v>
      </c>
      <c r="K40" s="3">
        <v>-0.6</v>
      </c>
      <c r="L40" s="5">
        <v>141.1</v>
      </c>
      <c r="M40" s="207">
        <f t="shared" si="0"/>
        <v>96.6</v>
      </c>
      <c r="N40" s="134">
        <v>111.1</v>
      </c>
      <c r="O40" s="207">
        <f t="shared" si="1"/>
        <v>18.799999999999997</v>
      </c>
      <c r="P40" s="3">
        <v>18.600000000000001</v>
      </c>
      <c r="Q40" s="8">
        <v>62.2</v>
      </c>
      <c r="R40" s="5">
        <v>68.2</v>
      </c>
      <c r="S40" s="3">
        <v>4.3</v>
      </c>
      <c r="T40" s="3">
        <v>11.3</v>
      </c>
      <c r="U40" s="3">
        <v>9.8000000000000007</v>
      </c>
      <c r="V40" s="125">
        <v>8.4</v>
      </c>
      <c r="W40" s="3">
        <v>1.3</v>
      </c>
      <c r="X40" s="52">
        <v>1.2</v>
      </c>
      <c r="Y40" s="14">
        <v>42</v>
      </c>
      <c r="Z40" s="87">
        <v>2.6</v>
      </c>
      <c r="AA40" s="205">
        <v>93.4</v>
      </c>
      <c r="AB40" s="205">
        <v>56.3</v>
      </c>
      <c r="AC40" s="56">
        <v>11.4</v>
      </c>
      <c r="AD40" s="205">
        <v>43.6</v>
      </c>
      <c r="AE40" s="205">
        <f t="shared" si="2"/>
        <v>29.26</v>
      </c>
      <c r="AF40" s="205">
        <f t="shared" si="3"/>
        <v>0.6634000000000001</v>
      </c>
      <c r="AG40" s="205">
        <f t="shared" si="4"/>
        <v>7.6349999999999989</v>
      </c>
      <c r="AH40" s="205">
        <f t="shared" si="5"/>
        <v>14.193520000000001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 spans="1:95" ht="15" thickBot="1" x14ac:dyDescent="0.35">
      <c r="A41" s="3" t="s">
        <v>24</v>
      </c>
      <c r="B41" s="207" t="s">
        <v>97</v>
      </c>
      <c r="C41" s="207" t="s">
        <v>98</v>
      </c>
      <c r="D41" s="207" t="s">
        <v>27</v>
      </c>
      <c r="E41" s="207">
        <v>22</v>
      </c>
      <c r="F41" s="3">
        <v>77.5</v>
      </c>
      <c r="G41" s="116">
        <v>4.8</v>
      </c>
      <c r="H41" s="5">
        <v>5</v>
      </c>
      <c r="I41" s="5">
        <v>11.1</v>
      </c>
      <c r="J41" s="8">
        <v>5.7</v>
      </c>
      <c r="K41" s="6">
        <v>5.4</v>
      </c>
      <c r="L41" s="6">
        <v>127.9</v>
      </c>
      <c r="M41" s="207">
        <f t="shared" si="0"/>
        <v>69.699999999999989</v>
      </c>
      <c r="N41" s="125">
        <v>87.6</v>
      </c>
      <c r="O41" s="207">
        <f t="shared" si="1"/>
        <v>97.4</v>
      </c>
      <c r="P41" s="3">
        <v>20.399999999999999</v>
      </c>
      <c r="Q41" s="5">
        <v>67.7</v>
      </c>
      <c r="R41" s="5">
        <v>67.900000000000006</v>
      </c>
      <c r="S41" s="60">
        <v>10.7</v>
      </c>
      <c r="T41" s="71">
        <v>18.8</v>
      </c>
      <c r="U41" s="3">
        <v>11</v>
      </c>
      <c r="V41" s="126">
        <v>14.2</v>
      </c>
      <c r="W41" s="5">
        <v>9.6</v>
      </c>
      <c r="X41" s="67">
        <v>1.3</v>
      </c>
      <c r="Y41" s="14">
        <v>34.799999999999997</v>
      </c>
      <c r="Z41" s="14">
        <v>2.7</v>
      </c>
      <c r="AA41" s="205">
        <v>65.7</v>
      </c>
      <c r="AB41" s="205">
        <v>68</v>
      </c>
      <c r="AC41" s="135">
        <v>0.1</v>
      </c>
      <c r="AD41" s="205">
        <v>0</v>
      </c>
      <c r="AE41" s="205">
        <f t="shared" si="2"/>
        <v>29.184999999999999</v>
      </c>
      <c r="AF41" s="205">
        <f t="shared" si="3"/>
        <v>0.98720000000000085</v>
      </c>
      <c r="AG41" s="205">
        <f t="shared" si="4"/>
        <v>30.774999999999999</v>
      </c>
      <c r="AH41" s="205">
        <f t="shared" si="5"/>
        <v>21.202660000000002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 spans="1:95" ht="15" thickBot="1" x14ac:dyDescent="0.35">
      <c r="A42" s="3" t="s">
        <v>21</v>
      </c>
      <c r="B42" s="207" t="s">
        <v>99</v>
      </c>
      <c r="C42" s="207" t="s">
        <v>100</v>
      </c>
      <c r="D42" s="207" t="s">
        <v>30</v>
      </c>
      <c r="E42" s="207">
        <v>22</v>
      </c>
      <c r="F42" s="3">
        <v>82.4</v>
      </c>
      <c r="G42" s="116">
        <v>4.8</v>
      </c>
      <c r="H42" s="5">
        <v>4.4000000000000004</v>
      </c>
      <c r="I42" s="6">
        <v>8.8000000000000007</v>
      </c>
      <c r="J42" s="6">
        <v>6</v>
      </c>
      <c r="K42" s="16">
        <v>2.8</v>
      </c>
      <c r="L42" s="7">
        <v>121.9</v>
      </c>
      <c r="M42" s="207">
        <f t="shared" si="0"/>
        <v>39.5</v>
      </c>
      <c r="N42" s="80">
        <v>95.4</v>
      </c>
      <c r="O42" s="207">
        <f t="shared" si="1"/>
        <v>77.900000000000006</v>
      </c>
      <c r="P42" s="20">
        <v>26</v>
      </c>
      <c r="Q42" s="3">
        <v>51.9</v>
      </c>
      <c r="R42" s="3">
        <v>56.1</v>
      </c>
      <c r="S42" s="64">
        <v>1.6</v>
      </c>
      <c r="T42" s="37">
        <v>7.7</v>
      </c>
      <c r="U42" s="8">
        <v>30.7</v>
      </c>
      <c r="V42" s="3">
        <v>16.7</v>
      </c>
      <c r="W42" s="3">
        <v>0.9</v>
      </c>
      <c r="X42" s="27">
        <v>2.9</v>
      </c>
      <c r="Y42" s="14">
        <v>30.4</v>
      </c>
      <c r="Z42" s="14">
        <v>3.1</v>
      </c>
      <c r="AA42" s="205">
        <v>81.399999999999991</v>
      </c>
      <c r="AB42" s="205">
        <v>49.7</v>
      </c>
      <c r="AC42" s="77">
        <v>13.9</v>
      </c>
      <c r="AD42" s="205">
        <v>35.799999999999997</v>
      </c>
      <c r="AE42" s="205">
        <f t="shared" si="2"/>
        <v>30.43</v>
      </c>
      <c r="AF42" s="205">
        <f t="shared" si="3"/>
        <v>15.7544</v>
      </c>
      <c r="AG42" s="205">
        <f t="shared" si="4"/>
        <v>19.425000000000001</v>
      </c>
      <c r="AH42" s="205">
        <f t="shared" si="5"/>
        <v>22.725820000000002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 spans="1:95" ht="15" thickBot="1" x14ac:dyDescent="0.35">
      <c r="A43" s="3" t="s">
        <v>41</v>
      </c>
      <c r="B43" s="207" t="s">
        <v>101</v>
      </c>
      <c r="C43" s="207" t="s">
        <v>102</v>
      </c>
      <c r="D43" s="207" t="s">
        <v>27</v>
      </c>
      <c r="E43" s="207">
        <v>21</v>
      </c>
      <c r="F43" s="3">
        <v>79.8</v>
      </c>
      <c r="G43" s="116">
        <v>4.8</v>
      </c>
      <c r="H43" s="3">
        <v>2.6</v>
      </c>
      <c r="I43" s="60">
        <v>5.3</v>
      </c>
      <c r="J43" s="8">
        <v>5.4</v>
      </c>
      <c r="K43" s="3">
        <v>-0.1</v>
      </c>
      <c r="L43" s="63">
        <v>114.1</v>
      </c>
      <c r="M43" s="207">
        <f t="shared" si="0"/>
        <v>6</v>
      </c>
      <c r="N43" s="136">
        <v>110.8</v>
      </c>
      <c r="O43" s="207">
        <f t="shared" si="1"/>
        <v>20.199999999999989</v>
      </c>
      <c r="P43" s="5">
        <v>32.4</v>
      </c>
      <c r="Q43" s="3">
        <v>51.3</v>
      </c>
      <c r="R43" s="58">
        <v>56.8</v>
      </c>
      <c r="S43" s="89">
        <v>1</v>
      </c>
      <c r="T43" s="51">
        <v>6.1</v>
      </c>
      <c r="U43" s="19">
        <v>26</v>
      </c>
      <c r="V43" s="82">
        <v>12.2</v>
      </c>
      <c r="W43" s="43">
        <v>0.4</v>
      </c>
      <c r="X43" s="27">
        <v>2.9</v>
      </c>
      <c r="Y43" s="14">
        <v>43.8</v>
      </c>
      <c r="Z43" s="92">
        <v>2.2000000000000002</v>
      </c>
      <c r="AA43" s="205">
        <v>79.100000000000009</v>
      </c>
      <c r="AB43" s="205">
        <v>49.8</v>
      </c>
      <c r="AC43" s="14">
        <v>6.5</v>
      </c>
      <c r="AD43" s="205">
        <v>37.700000000000003</v>
      </c>
      <c r="AE43" s="205">
        <f t="shared" si="2"/>
        <v>33.159999999999997</v>
      </c>
      <c r="AF43" s="205">
        <f t="shared" si="3"/>
        <v>7.4772000000000007</v>
      </c>
      <c r="AG43" s="205">
        <f t="shared" si="4"/>
        <v>8.4649999999999981</v>
      </c>
      <c r="AH43" s="205">
        <f t="shared" si="5"/>
        <v>18.046659999999999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 spans="1:95" ht="15" thickBot="1" x14ac:dyDescent="0.35">
      <c r="A44" s="3" t="s">
        <v>41</v>
      </c>
      <c r="B44" s="207" t="s">
        <v>103</v>
      </c>
      <c r="C44" s="207" t="s">
        <v>53</v>
      </c>
      <c r="D44" s="207" t="s">
        <v>17</v>
      </c>
      <c r="E44" s="207">
        <v>22</v>
      </c>
      <c r="F44" s="3">
        <v>76.900000000000006</v>
      </c>
      <c r="G44" s="116">
        <v>4.8</v>
      </c>
      <c r="H44" s="6">
        <v>4.2</v>
      </c>
      <c r="I44" s="6">
        <v>9.9</v>
      </c>
      <c r="J44" s="6">
        <v>6.8</v>
      </c>
      <c r="K44" s="71">
        <v>3.1</v>
      </c>
      <c r="L44" s="6">
        <v>129</v>
      </c>
      <c r="M44" s="207">
        <f t="shared" si="0"/>
        <v>77.8</v>
      </c>
      <c r="N44" s="137">
        <v>94.7</v>
      </c>
      <c r="O44" s="207">
        <f t="shared" si="1"/>
        <v>80.599999999999994</v>
      </c>
      <c r="P44" s="3">
        <v>22</v>
      </c>
      <c r="Q44" s="5">
        <v>68.599999999999994</v>
      </c>
      <c r="R44" s="5">
        <v>68</v>
      </c>
      <c r="S44" s="34">
        <v>9.1</v>
      </c>
      <c r="T44" s="8">
        <v>21.9</v>
      </c>
      <c r="U44" s="3">
        <v>12.9</v>
      </c>
      <c r="V44" s="80">
        <v>13.9</v>
      </c>
      <c r="W44" s="34">
        <v>4.0999999999999996</v>
      </c>
      <c r="X44" s="52">
        <v>1.2</v>
      </c>
      <c r="Y44" s="14">
        <v>42</v>
      </c>
      <c r="Z44" s="14">
        <v>3.5</v>
      </c>
      <c r="AA44" s="205">
        <v>62.1</v>
      </c>
      <c r="AB44" s="205">
        <v>68.5</v>
      </c>
      <c r="AC44" s="14">
        <v>5.2</v>
      </c>
      <c r="AD44" s="205">
        <v>45.9</v>
      </c>
      <c r="AE44" s="205">
        <f t="shared" si="2"/>
        <v>30.695</v>
      </c>
      <c r="AF44" s="205">
        <f t="shared" si="3"/>
        <v>2.2419999999999991</v>
      </c>
      <c r="AG44" s="205">
        <f t="shared" si="4"/>
        <v>21.774999999999999</v>
      </c>
      <c r="AH44" s="205">
        <f t="shared" si="5"/>
        <v>19.4831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 spans="1:95" ht="15" thickBot="1" x14ac:dyDescent="0.35">
      <c r="A45" s="3" t="s">
        <v>41</v>
      </c>
      <c r="B45" s="207" t="s">
        <v>104</v>
      </c>
      <c r="C45" s="207" t="s">
        <v>105</v>
      </c>
      <c r="D45" s="207" t="s">
        <v>106</v>
      </c>
      <c r="E45" s="207">
        <v>17</v>
      </c>
      <c r="F45" s="3">
        <v>66.5</v>
      </c>
      <c r="G45" s="116">
        <v>4.8</v>
      </c>
      <c r="H45" s="3">
        <v>2.1</v>
      </c>
      <c r="I45" s="16">
        <v>4.4000000000000004</v>
      </c>
      <c r="J45" s="7">
        <v>4.9000000000000004</v>
      </c>
      <c r="K45" s="3">
        <v>-0.5</v>
      </c>
      <c r="L45" s="71">
        <v>116.3</v>
      </c>
      <c r="M45" s="207">
        <f t="shared" si="0"/>
        <v>10.7</v>
      </c>
      <c r="N45" s="139">
        <v>115.9</v>
      </c>
      <c r="O45" s="207">
        <f t="shared" si="1"/>
        <v>5.4000000000000057</v>
      </c>
      <c r="P45" s="7">
        <v>29</v>
      </c>
      <c r="Q45" s="3">
        <v>52</v>
      </c>
      <c r="R45" s="83">
        <v>57.8</v>
      </c>
      <c r="S45" s="52">
        <v>2.1</v>
      </c>
      <c r="T45" s="3">
        <v>11.1</v>
      </c>
      <c r="U45" s="6">
        <v>32.700000000000003</v>
      </c>
      <c r="V45" s="59">
        <v>14.7</v>
      </c>
      <c r="W45" s="67">
        <v>0.2</v>
      </c>
      <c r="X45" s="3">
        <v>2</v>
      </c>
      <c r="Y45" s="14">
        <v>37.700000000000003</v>
      </c>
      <c r="Z45" s="92">
        <v>2.2000000000000002</v>
      </c>
      <c r="AA45" s="205">
        <v>86</v>
      </c>
      <c r="AB45" s="205">
        <v>52</v>
      </c>
      <c r="AC45" s="14">
        <v>5.3</v>
      </c>
      <c r="AD45" s="205">
        <v>34.699999999999996</v>
      </c>
      <c r="AE45" s="205">
        <f t="shared" si="2"/>
        <v>32.785000000000004</v>
      </c>
      <c r="AF45" s="205">
        <f t="shared" si="3"/>
        <v>15.298800000000002</v>
      </c>
      <c r="AG45" s="205">
        <f t="shared" si="4"/>
        <v>4.75</v>
      </c>
      <c r="AH45" s="205">
        <f t="shared" si="5"/>
        <v>19.128640000000004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 spans="1:95" ht="15" thickBot="1" x14ac:dyDescent="0.35">
      <c r="A46" s="3" t="s">
        <v>41</v>
      </c>
      <c r="B46" s="207" t="s">
        <v>107</v>
      </c>
      <c r="C46" s="207" t="s">
        <v>91</v>
      </c>
      <c r="D46" s="207" t="s">
        <v>20</v>
      </c>
      <c r="E46" s="207">
        <v>22</v>
      </c>
      <c r="F46" s="3">
        <v>76.099999999999994</v>
      </c>
      <c r="G46" s="116">
        <v>4.8</v>
      </c>
      <c r="H46" s="7">
        <v>3.8</v>
      </c>
      <c r="I46" s="6">
        <v>8.6</v>
      </c>
      <c r="J46" s="6">
        <v>6</v>
      </c>
      <c r="K46" s="63">
        <v>2.5</v>
      </c>
      <c r="L46" s="5">
        <v>134.9</v>
      </c>
      <c r="M46" s="207">
        <f t="shared" si="0"/>
        <v>87.9</v>
      </c>
      <c r="N46" s="140">
        <v>98.2</v>
      </c>
      <c r="O46" s="207">
        <f t="shared" si="1"/>
        <v>68.5</v>
      </c>
      <c r="P46" s="3">
        <v>18.399999999999999</v>
      </c>
      <c r="Q46" s="6">
        <v>63.5</v>
      </c>
      <c r="R46" s="6">
        <v>66</v>
      </c>
      <c r="S46" s="46">
        <v>8.9</v>
      </c>
      <c r="T46" s="6">
        <v>23.3</v>
      </c>
      <c r="U46" s="3">
        <v>11.4</v>
      </c>
      <c r="V46" s="30">
        <v>9.1999999999999993</v>
      </c>
      <c r="W46" s="16">
        <v>4.5</v>
      </c>
      <c r="X46" s="37">
        <v>1.1000000000000001</v>
      </c>
      <c r="Y46" s="14">
        <v>41.1</v>
      </c>
      <c r="Z46" s="14">
        <v>3</v>
      </c>
      <c r="AA46" s="205">
        <v>74.7</v>
      </c>
      <c r="AB46" s="205">
        <v>71.8</v>
      </c>
      <c r="AC46" s="14">
        <v>5.7</v>
      </c>
      <c r="AD46" s="205">
        <v>32.4</v>
      </c>
      <c r="AE46" s="205">
        <f t="shared" si="2"/>
        <v>28.8</v>
      </c>
      <c r="AF46" s="205">
        <f t="shared" si="3"/>
        <v>1.0289999999999999</v>
      </c>
      <c r="AG46" s="205">
        <f t="shared" si="4"/>
        <v>19.685000000000002</v>
      </c>
      <c r="AH46" s="205">
        <f t="shared" si="5"/>
        <v>17.734200000000001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 spans="1:95" ht="15" thickBot="1" x14ac:dyDescent="0.35">
      <c r="A47" s="3" t="s">
        <v>21</v>
      </c>
      <c r="B47" s="207" t="s">
        <v>108</v>
      </c>
      <c r="C47" s="207" t="s">
        <v>109</v>
      </c>
      <c r="D47" s="207" t="s">
        <v>110</v>
      </c>
      <c r="E47" s="207">
        <v>21</v>
      </c>
      <c r="F47" s="3">
        <v>97.6</v>
      </c>
      <c r="G47" s="116">
        <v>4.8</v>
      </c>
      <c r="H47" s="83">
        <v>2.9</v>
      </c>
      <c r="I47" s="42">
        <v>3.8</v>
      </c>
      <c r="J47" s="9">
        <v>4.4000000000000004</v>
      </c>
      <c r="K47" s="3">
        <v>-0.6</v>
      </c>
      <c r="L47" s="71">
        <v>116.4</v>
      </c>
      <c r="M47" s="207">
        <f t="shared" si="0"/>
        <v>11.4</v>
      </c>
      <c r="N47" s="141">
        <v>112.5</v>
      </c>
      <c r="O47" s="207">
        <f t="shared" si="1"/>
        <v>16.799999999999997</v>
      </c>
      <c r="P47" s="9">
        <v>27.8</v>
      </c>
      <c r="Q47" s="3">
        <v>52.9</v>
      </c>
      <c r="R47" s="29">
        <v>57.2</v>
      </c>
      <c r="S47" s="64">
        <v>1.5</v>
      </c>
      <c r="T47" s="107">
        <v>8.5</v>
      </c>
      <c r="U47" s="19">
        <v>26.1</v>
      </c>
      <c r="V47" s="118">
        <v>15.9</v>
      </c>
      <c r="W47" s="3">
        <v>1</v>
      </c>
      <c r="X47" s="52">
        <v>1.2</v>
      </c>
      <c r="Y47" s="14">
        <v>30.3</v>
      </c>
      <c r="Z47" s="142">
        <v>2.5</v>
      </c>
      <c r="AA47" s="205">
        <v>82.899999999999991</v>
      </c>
      <c r="AB47" s="205">
        <v>46.1</v>
      </c>
      <c r="AC47" s="47">
        <v>9.4</v>
      </c>
      <c r="AD47" s="205">
        <v>43</v>
      </c>
      <c r="AE47" s="205">
        <f t="shared" si="2"/>
        <v>30.545000000000002</v>
      </c>
      <c r="AF47" s="205">
        <f t="shared" si="3"/>
        <v>11.475000000000001</v>
      </c>
      <c r="AG47" s="205">
        <f t="shared" si="4"/>
        <v>6.2299999999999986</v>
      </c>
      <c r="AH47" s="205">
        <f t="shared" si="5"/>
        <v>17.529500000000002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 spans="1:95" ht="15" thickBot="1" x14ac:dyDescent="0.35">
      <c r="A48" s="3" t="s">
        <v>24</v>
      </c>
      <c r="B48" s="207" t="s">
        <v>111</v>
      </c>
      <c r="C48" s="207" t="s">
        <v>112</v>
      </c>
      <c r="D48" s="207" t="s">
        <v>30</v>
      </c>
      <c r="E48" s="207">
        <v>22</v>
      </c>
      <c r="F48" s="3">
        <v>77.8</v>
      </c>
      <c r="G48" s="116">
        <v>4.7</v>
      </c>
      <c r="H48" s="6">
        <v>4.3</v>
      </c>
      <c r="I48" s="5">
        <v>11</v>
      </c>
      <c r="J48" s="6">
        <v>6.2</v>
      </c>
      <c r="K48" s="8">
        <v>4.8</v>
      </c>
      <c r="L48" s="8">
        <v>124.3</v>
      </c>
      <c r="M48" s="207">
        <f t="shared" si="0"/>
        <v>53</v>
      </c>
      <c r="N48" s="143">
        <v>93.9</v>
      </c>
      <c r="O48" s="207">
        <f t="shared" si="1"/>
        <v>83.9</v>
      </c>
      <c r="P48" s="27">
        <v>25.5</v>
      </c>
      <c r="Q48" s="34">
        <v>56.1</v>
      </c>
      <c r="R48" s="50">
        <v>61.3</v>
      </c>
      <c r="S48" s="119">
        <v>1.2</v>
      </c>
      <c r="T48" s="3">
        <v>11.3</v>
      </c>
      <c r="U48" s="8">
        <v>29.1</v>
      </c>
      <c r="V48" s="53">
        <v>13.5</v>
      </c>
      <c r="W48" s="3">
        <v>1.7</v>
      </c>
      <c r="X48" s="5">
        <v>4.2</v>
      </c>
      <c r="Y48" s="14">
        <v>37.299999999999997</v>
      </c>
      <c r="Z48" s="14">
        <v>2.7</v>
      </c>
      <c r="AA48" s="205">
        <v>86.1</v>
      </c>
      <c r="AB48" s="205">
        <v>55.600000000000009</v>
      </c>
      <c r="AC48" s="14">
        <v>8</v>
      </c>
      <c r="AD48" s="205">
        <v>38</v>
      </c>
      <c r="AE48" s="205">
        <f t="shared" si="2"/>
        <v>32.01</v>
      </c>
      <c r="AF48" s="205">
        <f t="shared" si="3"/>
        <v>11.165000000000003</v>
      </c>
      <c r="AG48" s="205">
        <f t="shared" si="4"/>
        <v>23.595000000000002</v>
      </c>
      <c r="AH48" s="205">
        <f t="shared" si="5"/>
        <v>23.232000000000003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 spans="1:95" ht="15" thickBot="1" x14ac:dyDescent="0.35">
      <c r="A49" s="3" t="s">
        <v>21</v>
      </c>
      <c r="B49" s="207" t="s">
        <v>113</v>
      </c>
      <c r="C49" s="207" t="s">
        <v>114</v>
      </c>
      <c r="D49" s="207" t="s">
        <v>106</v>
      </c>
      <c r="E49" s="207">
        <v>20</v>
      </c>
      <c r="F49" s="3">
        <v>76.5</v>
      </c>
      <c r="G49" s="116">
        <v>4.7</v>
      </c>
      <c r="H49" s="63">
        <v>3.2</v>
      </c>
      <c r="I49" s="11">
        <v>6.7</v>
      </c>
      <c r="J49" s="6">
        <v>6.4</v>
      </c>
      <c r="K49" s="3">
        <v>0.3</v>
      </c>
      <c r="L49" s="5">
        <v>130.5</v>
      </c>
      <c r="M49" s="207">
        <f t="shared" si="0"/>
        <v>80.5</v>
      </c>
      <c r="N49" s="3">
        <v>104</v>
      </c>
      <c r="O49" s="207">
        <f t="shared" si="1"/>
        <v>45.699999999999996</v>
      </c>
      <c r="P49" s="3">
        <v>22.4</v>
      </c>
      <c r="Q49" s="9">
        <v>59.7</v>
      </c>
      <c r="R49" s="7">
        <v>63.8</v>
      </c>
      <c r="S49" s="36">
        <v>2</v>
      </c>
      <c r="T49" s="119">
        <v>7</v>
      </c>
      <c r="U49" s="3">
        <v>9.6999999999999993</v>
      </c>
      <c r="V49" s="125">
        <v>8.9</v>
      </c>
      <c r="W49" s="43">
        <v>0.4</v>
      </c>
      <c r="X49" s="3">
        <v>1.6</v>
      </c>
      <c r="Y49" s="14">
        <v>35.200000000000003</v>
      </c>
      <c r="Z49" s="31">
        <v>1.9</v>
      </c>
      <c r="AA49" s="205">
        <v>83.899999999999991</v>
      </c>
      <c r="AB49" s="205">
        <v>61.7</v>
      </c>
      <c r="AC49" s="57">
        <v>12.1</v>
      </c>
      <c r="AD49" s="205">
        <v>38.6</v>
      </c>
      <c r="AE49" s="205">
        <f t="shared" si="2"/>
        <v>28.584999999999997</v>
      </c>
      <c r="AF49" s="205">
        <f t="shared" si="3"/>
        <v>0.65999999999999981</v>
      </c>
      <c r="AG49" s="205">
        <f t="shared" si="4"/>
        <v>11.56</v>
      </c>
      <c r="AH49" s="205">
        <f t="shared" si="5"/>
        <v>15.1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 spans="1:95" ht="15" thickBot="1" x14ac:dyDescent="0.35">
      <c r="A50" s="3" t="s">
        <v>24</v>
      </c>
      <c r="B50" s="207" t="s">
        <v>115</v>
      </c>
      <c r="C50" s="207" t="s">
        <v>116</v>
      </c>
      <c r="D50" s="207" t="s">
        <v>20</v>
      </c>
      <c r="E50" s="207">
        <v>22</v>
      </c>
      <c r="F50" s="3">
        <v>79.400000000000006</v>
      </c>
      <c r="G50" s="116">
        <v>4.7</v>
      </c>
      <c r="H50" s="5">
        <v>4.5999999999999996</v>
      </c>
      <c r="I50" s="5">
        <v>10.3</v>
      </c>
      <c r="J50" s="5">
        <v>7.4</v>
      </c>
      <c r="K50" s="20">
        <v>2.9</v>
      </c>
      <c r="L50" s="6">
        <v>128.1</v>
      </c>
      <c r="M50" s="207">
        <f t="shared" si="0"/>
        <v>71.099999999999994</v>
      </c>
      <c r="N50" s="113">
        <v>92.8</v>
      </c>
      <c r="O50" s="207">
        <f t="shared" si="1"/>
        <v>88</v>
      </c>
      <c r="P50" s="3">
        <v>21.2</v>
      </c>
      <c r="Q50" s="7">
        <v>61.3</v>
      </c>
      <c r="R50" s="11">
        <v>63.2</v>
      </c>
      <c r="S50" s="28">
        <v>2.7</v>
      </c>
      <c r="T50" s="3">
        <v>13.2</v>
      </c>
      <c r="U50" s="3">
        <v>12.3</v>
      </c>
      <c r="V50" s="5">
        <v>5.2</v>
      </c>
      <c r="W50" s="3">
        <v>1.2</v>
      </c>
      <c r="X50" s="3">
        <v>2</v>
      </c>
      <c r="Y50" s="135">
        <v>16.5</v>
      </c>
      <c r="Z50" s="13">
        <v>2.1</v>
      </c>
      <c r="AA50" s="205">
        <v>82.6</v>
      </c>
      <c r="AB50" s="205">
        <v>61.1</v>
      </c>
      <c r="AC50" s="33">
        <v>15.9</v>
      </c>
      <c r="AD50" s="205">
        <v>41</v>
      </c>
      <c r="AE50" s="205">
        <f t="shared" si="2"/>
        <v>26.594999999999999</v>
      </c>
      <c r="AF50" s="205">
        <f t="shared" si="3"/>
        <v>0.23600000000000002</v>
      </c>
      <c r="AG50" s="205">
        <f t="shared" si="4"/>
        <v>20.884999999999998</v>
      </c>
      <c r="AH50" s="205">
        <f t="shared" si="5"/>
        <v>16.974299999999999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 spans="1:95" ht="15" thickBot="1" x14ac:dyDescent="0.35">
      <c r="A51" s="3" t="s">
        <v>21</v>
      </c>
      <c r="B51" s="207" t="s">
        <v>117</v>
      </c>
      <c r="C51" s="207" t="s">
        <v>118</v>
      </c>
      <c r="D51" s="207" t="s">
        <v>30</v>
      </c>
      <c r="E51" s="207">
        <v>15</v>
      </c>
      <c r="F51" s="3">
        <v>50.3</v>
      </c>
      <c r="G51" s="116">
        <v>4.7</v>
      </c>
      <c r="H51" s="27">
        <v>3.2</v>
      </c>
      <c r="I51" s="6">
        <v>8.9</v>
      </c>
      <c r="J51" s="6">
        <v>6.7</v>
      </c>
      <c r="K51" s="18">
        <v>2.2000000000000002</v>
      </c>
      <c r="L51" s="5">
        <v>137.80000000000001</v>
      </c>
      <c r="M51" s="207">
        <f t="shared" si="0"/>
        <v>93.899999999999991</v>
      </c>
      <c r="N51" s="3">
        <v>102.5</v>
      </c>
      <c r="O51" s="207">
        <f t="shared" si="1"/>
        <v>51.7</v>
      </c>
      <c r="P51" s="3">
        <v>18.7</v>
      </c>
      <c r="Q51" s="8">
        <v>62.7</v>
      </c>
      <c r="R51" s="8">
        <v>65.3</v>
      </c>
      <c r="S51" s="3">
        <v>3.3</v>
      </c>
      <c r="T51" s="18">
        <v>17</v>
      </c>
      <c r="U51" s="3">
        <v>15</v>
      </c>
      <c r="V51" s="94">
        <v>7.6</v>
      </c>
      <c r="W51" s="3">
        <v>1.1000000000000001</v>
      </c>
      <c r="X51" s="3">
        <v>2</v>
      </c>
      <c r="Y51" s="14">
        <v>38</v>
      </c>
      <c r="Z51" s="23">
        <v>2.4</v>
      </c>
      <c r="AA51" s="205">
        <v>75.900000000000006</v>
      </c>
      <c r="AB51" s="205">
        <v>66.7</v>
      </c>
      <c r="AC51" s="124">
        <v>9.8000000000000007</v>
      </c>
      <c r="AD51" s="205">
        <v>39.5</v>
      </c>
      <c r="AE51" s="205">
        <f t="shared" si="2"/>
        <v>28.925000000000001</v>
      </c>
      <c r="AF51" s="205">
        <f t="shared" si="3"/>
        <v>0.72599999999999998</v>
      </c>
      <c r="AG51" s="205">
        <f t="shared" si="4"/>
        <v>14.709999999999999</v>
      </c>
      <c r="AH51" s="205">
        <f t="shared" si="5"/>
        <v>16.200800000000001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 spans="1:95" ht="15" thickBot="1" x14ac:dyDescent="0.35">
      <c r="A52" s="3" t="s">
        <v>21</v>
      </c>
      <c r="B52" s="207" t="s">
        <v>119</v>
      </c>
      <c r="C52" s="207" t="s">
        <v>120</v>
      </c>
      <c r="D52" s="207" t="s">
        <v>106</v>
      </c>
      <c r="E52" s="207">
        <v>19</v>
      </c>
      <c r="F52" s="3">
        <v>61.9</v>
      </c>
      <c r="G52" s="116">
        <v>4.7</v>
      </c>
      <c r="H52" s="35">
        <v>3</v>
      </c>
      <c r="I52" s="5">
        <v>10.199999999999999</v>
      </c>
      <c r="J52" s="5">
        <v>8.6999999999999993</v>
      </c>
      <c r="K52" s="84">
        <v>1.5</v>
      </c>
      <c r="L52" s="6">
        <v>125.4</v>
      </c>
      <c r="M52" s="207">
        <f t="shared" si="0"/>
        <v>59</v>
      </c>
      <c r="N52" s="3">
        <v>104.9</v>
      </c>
      <c r="O52" s="207">
        <f t="shared" si="1"/>
        <v>41.7</v>
      </c>
      <c r="P52" s="18">
        <v>24.5</v>
      </c>
      <c r="Q52" s="60">
        <v>58.9</v>
      </c>
      <c r="R52" s="19">
        <v>62.1</v>
      </c>
      <c r="S52" s="3">
        <v>4.4000000000000004</v>
      </c>
      <c r="T52" s="3">
        <v>12.6</v>
      </c>
      <c r="U52" s="3">
        <v>17.2</v>
      </c>
      <c r="V52" s="30">
        <v>9.3000000000000007</v>
      </c>
      <c r="W52" s="3">
        <v>1.3</v>
      </c>
      <c r="X52" s="29">
        <v>2.5</v>
      </c>
      <c r="Y52" s="14">
        <v>33.1</v>
      </c>
      <c r="Z52" s="144">
        <v>1.7</v>
      </c>
      <c r="AA52" s="205">
        <v>78.2</v>
      </c>
      <c r="AB52" s="205">
        <v>52.900000000000006</v>
      </c>
      <c r="AC52" s="39">
        <v>10.199999999999999</v>
      </c>
      <c r="AD52" s="205">
        <v>44.9</v>
      </c>
      <c r="AE52" s="205">
        <f t="shared" si="2"/>
        <v>29.704999999999998</v>
      </c>
      <c r="AF52" s="205">
        <f t="shared" si="3"/>
        <v>2.1041999999999996</v>
      </c>
      <c r="AG52" s="205">
        <f t="shared" si="4"/>
        <v>14.225</v>
      </c>
      <c r="AH52" s="205">
        <f t="shared" si="5"/>
        <v>16.780760000000001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 spans="1:95" ht="15" thickBot="1" x14ac:dyDescent="0.35">
      <c r="A53" s="3" t="s">
        <v>21</v>
      </c>
      <c r="B53" s="207" t="s">
        <v>121</v>
      </c>
      <c r="C53" s="207" t="s">
        <v>55</v>
      </c>
      <c r="D53" s="207" t="s">
        <v>27</v>
      </c>
      <c r="E53" s="207">
        <v>21</v>
      </c>
      <c r="F53" s="3">
        <v>72.5</v>
      </c>
      <c r="G53" s="116">
        <v>4.7</v>
      </c>
      <c r="H53" s="8">
        <v>4</v>
      </c>
      <c r="I53" s="6">
        <v>9.8000000000000007</v>
      </c>
      <c r="J53" s="6">
        <v>6.7</v>
      </c>
      <c r="K53" s="50">
        <v>3.2</v>
      </c>
      <c r="L53" s="6">
        <v>127.3</v>
      </c>
      <c r="M53" s="207">
        <f t="shared" si="0"/>
        <v>67.100000000000009</v>
      </c>
      <c r="N53" s="10">
        <v>94.2</v>
      </c>
      <c r="O53" s="207">
        <f t="shared" si="1"/>
        <v>82.6</v>
      </c>
      <c r="P53" s="55">
        <v>24</v>
      </c>
      <c r="Q53" s="76">
        <v>53.3</v>
      </c>
      <c r="R53" s="55">
        <v>58</v>
      </c>
      <c r="S53" s="3">
        <v>3.6</v>
      </c>
      <c r="T53" s="36">
        <v>7.9</v>
      </c>
      <c r="U53" s="3">
        <v>12.1</v>
      </c>
      <c r="V53" s="94">
        <v>7.6</v>
      </c>
      <c r="W53" s="3">
        <v>0.7</v>
      </c>
      <c r="X53" s="29">
        <v>2.5</v>
      </c>
      <c r="Y53" s="14">
        <v>29.8</v>
      </c>
      <c r="Z53" s="145">
        <v>3.7</v>
      </c>
      <c r="AA53" s="205">
        <v>87</v>
      </c>
      <c r="AB53" s="205">
        <v>50.5</v>
      </c>
      <c r="AC53" s="33">
        <v>15</v>
      </c>
      <c r="AD53" s="205">
        <v>36.9</v>
      </c>
      <c r="AE53" s="205">
        <f t="shared" si="2"/>
        <v>27.435000000000002</v>
      </c>
      <c r="AF53" s="205">
        <f t="shared" si="3"/>
        <v>0.55200000000000005</v>
      </c>
      <c r="AG53" s="205">
        <f t="shared" si="4"/>
        <v>19.96</v>
      </c>
      <c r="AH53" s="205">
        <f t="shared" si="5"/>
        <v>17.127600000000001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 spans="1:95" ht="15" thickBot="1" x14ac:dyDescent="0.35">
      <c r="A54" s="3" t="s">
        <v>21</v>
      </c>
      <c r="B54" s="207" t="s">
        <v>122</v>
      </c>
      <c r="C54" s="207" t="s">
        <v>123</v>
      </c>
      <c r="D54" s="207" t="s">
        <v>20</v>
      </c>
      <c r="E54" s="207">
        <v>23</v>
      </c>
      <c r="F54" s="3">
        <v>81.5</v>
      </c>
      <c r="G54" s="116">
        <v>4.7</v>
      </c>
      <c r="H54" s="8">
        <v>3.9</v>
      </c>
      <c r="I54" s="8">
        <v>7.5</v>
      </c>
      <c r="J54" s="6">
        <v>6</v>
      </c>
      <c r="K54" s="29">
        <v>1.6</v>
      </c>
      <c r="L54" s="9">
        <v>119.4</v>
      </c>
      <c r="M54" s="207">
        <f t="shared" si="0"/>
        <v>24.099999999999998</v>
      </c>
      <c r="N54" s="3">
        <v>99.6</v>
      </c>
      <c r="O54" s="207">
        <f t="shared" si="1"/>
        <v>63.800000000000004</v>
      </c>
      <c r="P54" s="20">
        <v>26</v>
      </c>
      <c r="Q54" s="63">
        <v>56.7</v>
      </c>
      <c r="R54" s="20">
        <v>60.4</v>
      </c>
      <c r="S54" s="37">
        <v>1.7</v>
      </c>
      <c r="T54" s="3">
        <v>10.9</v>
      </c>
      <c r="U54" s="3">
        <v>16.3</v>
      </c>
      <c r="V54" s="102">
        <v>10.1</v>
      </c>
      <c r="W54" s="3">
        <v>0.6</v>
      </c>
      <c r="X54" s="3">
        <v>2.2000000000000002</v>
      </c>
      <c r="Y54" s="127">
        <v>25.1</v>
      </c>
      <c r="Z54" s="14">
        <v>2.9</v>
      </c>
      <c r="AA54" s="205">
        <v>87.2</v>
      </c>
      <c r="AB54" s="205">
        <v>54.1</v>
      </c>
      <c r="AC54" s="33">
        <v>15.3</v>
      </c>
      <c r="AD54" s="205">
        <v>39.1</v>
      </c>
      <c r="AE54" s="205">
        <f t="shared" si="2"/>
        <v>28.795000000000002</v>
      </c>
      <c r="AF54" s="205">
        <f t="shared" si="3"/>
        <v>2.7795000000000001</v>
      </c>
      <c r="AG54" s="205">
        <f t="shared" si="4"/>
        <v>15.615</v>
      </c>
      <c r="AH54" s="205">
        <f t="shared" si="5"/>
        <v>17.036349999999999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 spans="1:95" ht="15" thickBot="1" x14ac:dyDescent="0.35">
      <c r="A55" s="3" t="s">
        <v>41</v>
      </c>
      <c r="B55" s="207" t="s">
        <v>124</v>
      </c>
      <c r="C55" s="207" t="s">
        <v>81</v>
      </c>
      <c r="D55" s="207" t="s">
        <v>75</v>
      </c>
      <c r="E55" s="207">
        <v>18</v>
      </c>
      <c r="F55" s="3">
        <v>49.4</v>
      </c>
      <c r="G55" s="116">
        <v>4.7</v>
      </c>
      <c r="H55" s="9">
        <v>3.7</v>
      </c>
      <c r="I55" s="5">
        <v>10.3</v>
      </c>
      <c r="J55" s="5">
        <v>8</v>
      </c>
      <c r="K55" s="46">
        <v>2.2000000000000002</v>
      </c>
      <c r="L55" s="5">
        <v>135.4</v>
      </c>
      <c r="M55" s="207">
        <f t="shared" si="0"/>
        <v>88.5</v>
      </c>
      <c r="N55" s="74">
        <v>92.4</v>
      </c>
      <c r="O55" s="207">
        <f t="shared" si="1"/>
        <v>89.3</v>
      </c>
      <c r="P55" s="18">
        <v>24.5</v>
      </c>
      <c r="Q55" s="5">
        <v>67.8</v>
      </c>
      <c r="R55" s="6">
        <v>67.2</v>
      </c>
      <c r="S55" s="7">
        <v>12.2</v>
      </c>
      <c r="T55" s="3">
        <v>11.7</v>
      </c>
      <c r="U55" s="3">
        <v>11.4</v>
      </c>
      <c r="V55" s="125">
        <v>8.4</v>
      </c>
      <c r="W55" s="3">
        <v>2.4</v>
      </c>
      <c r="X55" s="119">
        <v>1</v>
      </c>
      <c r="Y55" s="146">
        <v>18.3</v>
      </c>
      <c r="Z55" s="147">
        <v>3.9</v>
      </c>
      <c r="AA55" s="205">
        <v>57.499999999999993</v>
      </c>
      <c r="AB55" s="205">
        <v>69.699999999999989</v>
      </c>
      <c r="AC55" s="148">
        <v>2.5</v>
      </c>
      <c r="AD55" s="205">
        <v>33.300000000000004</v>
      </c>
      <c r="AE55" s="205">
        <f t="shared" si="2"/>
        <v>28.630000000000003</v>
      </c>
      <c r="AF55" s="205">
        <f t="shared" si="3"/>
        <v>0.82390000000000008</v>
      </c>
      <c r="AG55" s="205">
        <f t="shared" si="4"/>
        <v>21.139999999999997</v>
      </c>
      <c r="AH55" s="205">
        <f t="shared" si="5"/>
        <v>18.041170000000001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 spans="1:95" ht="15" thickBot="1" x14ac:dyDescent="0.35">
      <c r="A56" s="3" t="s">
        <v>21</v>
      </c>
      <c r="B56" s="207" t="s">
        <v>125</v>
      </c>
      <c r="C56" s="207" t="s">
        <v>126</v>
      </c>
      <c r="D56" s="207" t="s">
        <v>17</v>
      </c>
      <c r="E56" s="207">
        <v>23</v>
      </c>
      <c r="F56" s="3">
        <v>67.900000000000006</v>
      </c>
      <c r="G56" s="149">
        <v>4.5999999999999996</v>
      </c>
      <c r="H56" s="20">
        <v>3.3</v>
      </c>
      <c r="I56" s="7">
        <v>6.8</v>
      </c>
      <c r="J56" s="8">
        <v>5.4</v>
      </c>
      <c r="K56" s="58">
        <v>1.4</v>
      </c>
      <c r="L56" s="5">
        <v>137</v>
      </c>
      <c r="M56" s="207">
        <f t="shared" si="0"/>
        <v>91.9</v>
      </c>
      <c r="N56" s="75">
        <v>99</v>
      </c>
      <c r="O56" s="207">
        <f t="shared" si="1"/>
        <v>66.5</v>
      </c>
      <c r="P56" s="3">
        <v>19.399999999999999</v>
      </c>
      <c r="Q56" s="5">
        <v>68.599999999999994</v>
      </c>
      <c r="R56" s="5">
        <v>69.599999999999994</v>
      </c>
      <c r="S56" s="7">
        <v>12.1</v>
      </c>
      <c r="T56" s="46">
        <v>17.2</v>
      </c>
      <c r="U56" s="85">
        <v>7.2</v>
      </c>
      <c r="V56" s="102">
        <v>10.199999999999999</v>
      </c>
      <c r="W56" s="83">
        <v>3.6</v>
      </c>
      <c r="X56" s="52">
        <v>1.2</v>
      </c>
      <c r="Y56" s="112">
        <v>48.3</v>
      </c>
      <c r="Z56" s="145">
        <v>3.7</v>
      </c>
      <c r="AA56" s="205">
        <v>70.099999999999994</v>
      </c>
      <c r="AB56" s="205">
        <v>70</v>
      </c>
      <c r="AC56" s="150">
        <v>0.9</v>
      </c>
      <c r="AD56" s="205">
        <v>30</v>
      </c>
      <c r="AE56" s="205">
        <f t="shared" si="2"/>
        <v>30.049999999999997</v>
      </c>
      <c r="AF56" s="205">
        <f t="shared" si="3"/>
        <v>0.41760000000000036</v>
      </c>
      <c r="AG56" s="205">
        <f t="shared" si="4"/>
        <v>17.734999999999999</v>
      </c>
      <c r="AH56" s="205">
        <f t="shared" si="5"/>
        <v>17.465779999999999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 spans="1:95" ht="15" thickBot="1" x14ac:dyDescent="0.35">
      <c r="A57" s="3" t="s">
        <v>21</v>
      </c>
      <c r="B57" s="207" t="s">
        <v>127</v>
      </c>
      <c r="C57" s="207" t="s">
        <v>128</v>
      </c>
      <c r="D57" s="207" t="s">
        <v>129</v>
      </c>
      <c r="E57" s="207">
        <v>20</v>
      </c>
      <c r="F57" s="3">
        <v>87.9</v>
      </c>
      <c r="G57" s="149">
        <v>4.5999999999999996</v>
      </c>
      <c r="H57" s="16">
        <v>3.3</v>
      </c>
      <c r="I57" s="11">
        <v>6.6</v>
      </c>
      <c r="J57" s="7">
        <v>5</v>
      </c>
      <c r="K57" s="29">
        <v>1.5</v>
      </c>
      <c r="L57" s="5">
        <v>134.4</v>
      </c>
      <c r="M57" s="207">
        <f t="shared" si="0"/>
        <v>87.2</v>
      </c>
      <c r="N57" s="3">
        <v>107.2</v>
      </c>
      <c r="O57" s="207">
        <f t="shared" si="1"/>
        <v>32.899999999999991</v>
      </c>
      <c r="P57" s="3">
        <v>18.7</v>
      </c>
      <c r="Q57" s="7">
        <v>61.1</v>
      </c>
      <c r="R57" s="8">
        <v>64.599999999999994</v>
      </c>
      <c r="S57" s="3">
        <v>6.3</v>
      </c>
      <c r="T57" s="3">
        <v>12.8</v>
      </c>
      <c r="U57" s="3">
        <v>13.6</v>
      </c>
      <c r="V57" s="99">
        <v>10.4</v>
      </c>
      <c r="W57" s="86">
        <v>0.3</v>
      </c>
      <c r="X57" s="27">
        <v>2.9</v>
      </c>
      <c r="Y57" s="115">
        <v>28.2</v>
      </c>
      <c r="Z57" s="14">
        <v>2.7</v>
      </c>
      <c r="AA57" s="205">
        <v>86</v>
      </c>
      <c r="AB57" s="205">
        <v>60.3</v>
      </c>
      <c r="AC57" s="40">
        <v>11.7</v>
      </c>
      <c r="AD57" s="205">
        <v>41</v>
      </c>
      <c r="AE57" s="205">
        <f t="shared" si="2"/>
        <v>27.54</v>
      </c>
      <c r="AF57" s="205">
        <f t="shared" si="3"/>
        <v>2.0903999999999998</v>
      </c>
      <c r="AG57" s="205">
        <f t="shared" si="4"/>
        <v>11.044999999999998</v>
      </c>
      <c r="AH57" s="205">
        <f t="shared" si="5"/>
        <v>14.956619999999999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 spans="1:95" ht="15" thickBot="1" x14ac:dyDescent="0.35">
      <c r="A58" s="3" t="s">
        <v>41</v>
      </c>
      <c r="B58" s="207" t="s">
        <v>130</v>
      </c>
      <c r="C58" s="207" t="s">
        <v>131</v>
      </c>
      <c r="D58" s="207" t="s">
        <v>30</v>
      </c>
      <c r="E58" s="207">
        <v>22</v>
      </c>
      <c r="F58" s="3">
        <v>84.7</v>
      </c>
      <c r="G58" s="149">
        <v>4.5999999999999996</v>
      </c>
      <c r="H58" s="5">
        <v>4.8</v>
      </c>
      <c r="I58" s="6">
        <v>9.4</v>
      </c>
      <c r="J58" s="6">
        <v>6.1</v>
      </c>
      <c r="K58" s="60">
        <v>3.3</v>
      </c>
      <c r="L58" s="8">
        <v>124.5</v>
      </c>
      <c r="M58" s="207">
        <f t="shared" si="0"/>
        <v>55.7</v>
      </c>
      <c r="N58" s="82">
        <v>93.1</v>
      </c>
      <c r="O58" s="207">
        <f t="shared" si="1"/>
        <v>86.6</v>
      </c>
      <c r="P58" s="3">
        <v>21</v>
      </c>
      <c r="Q58" s="35">
        <v>55.5</v>
      </c>
      <c r="R58" s="34">
        <v>59.1</v>
      </c>
      <c r="S58" s="3">
        <v>7</v>
      </c>
      <c r="T58" s="3">
        <v>12.8</v>
      </c>
      <c r="U58" s="3">
        <v>9.6</v>
      </c>
      <c r="V58" s="10">
        <v>13</v>
      </c>
      <c r="W58" s="3">
        <v>2.6</v>
      </c>
      <c r="X58" s="3">
        <v>1.6</v>
      </c>
      <c r="Y58" s="14">
        <v>41.6</v>
      </c>
      <c r="Z58" s="142">
        <v>2.5</v>
      </c>
      <c r="AA58" s="205">
        <v>73.7</v>
      </c>
      <c r="AB58" s="205">
        <v>58.199999999999996</v>
      </c>
      <c r="AC58" s="69">
        <v>8.9</v>
      </c>
      <c r="AD58" s="205">
        <v>34.699999999999996</v>
      </c>
      <c r="AE58" s="205">
        <f t="shared" si="2"/>
        <v>27.594999999999999</v>
      </c>
      <c r="AF58" s="205">
        <f t="shared" si="3"/>
        <v>0.58679999999999966</v>
      </c>
      <c r="AG58" s="205">
        <f t="shared" si="4"/>
        <v>21.439999999999998</v>
      </c>
      <c r="AH58" s="205">
        <f t="shared" si="5"/>
        <v>17.646039999999999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 spans="1:95" ht="15" thickBot="1" x14ac:dyDescent="0.35">
      <c r="A59" s="3" t="s">
        <v>24</v>
      </c>
      <c r="B59" s="207" t="s">
        <v>132</v>
      </c>
      <c r="C59" s="207" t="s">
        <v>133</v>
      </c>
      <c r="D59" s="207" t="s">
        <v>17</v>
      </c>
      <c r="E59" s="207">
        <v>22</v>
      </c>
      <c r="F59" s="3">
        <v>81.3</v>
      </c>
      <c r="G59" s="149">
        <v>4.5999999999999996</v>
      </c>
      <c r="H59" s="7">
        <v>3.8</v>
      </c>
      <c r="I59" s="7">
        <v>7</v>
      </c>
      <c r="J59" s="8">
        <v>5.8</v>
      </c>
      <c r="K59" s="3">
        <v>1.1000000000000001</v>
      </c>
      <c r="L59" s="60">
        <v>117.8</v>
      </c>
      <c r="M59" s="207">
        <f t="shared" si="0"/>
        <v>14.7</v>
      </c>
      <c r="N59" s="3">
        <v>100.2</v>
      </c>
      <c r="O59" s="207">
        <f t="shared" si="1"/>
        <v>60.5</v>
      </c>
      <c r="P59" s="19">
        <v>27.2</v>
      </c>
      <c r="Q59" s="46">
        <v>55.8</v>
      </c>
      <c r="R59" s="71">
        <v>60.8</v>
      </c>
      <c r="S59" s="3">
        <v>5</v>
      </c>
      <c r="T59" s="46">
        <v>17.2</v>
      </c>
      <c r="U59" s="54">
        <v>9.3000000000000007</v>
      </c>
      <c r="V59" s="66">
        <v>12.6</v>
      </c>
      <c r="W59" s="3">
        <v>1.3</v>
      </c>
      <c r="X59" s="42">
        <v>2.8</v>
      </c>
      <c r="Y59" s="47">
        <v>52.5</v>
      </c>
      <c r="Z59" s="14">
        <v>2.9</v>
      </c>
      <c r="AA59" s="205">
        <v>76.7</v>
      </c>
      <c r="AB59" s="205">
        <v>56.899999999999991</v>
      </c>
      <c r="AC59" s="45">
        <v>12.4</v>
      </c>
      <c r="AD59" s="205">
        <v>36.5</v>
      </c>
      <c r="AE59" s="205">
        <f t="shared" si="2"/>
        <v>30.925000000000001</v>
      </c>
      <c r="AF59" s="205">
        <f t="shared" si="3"/>
        <v>0.58370000000000033</v>
      </c>
      <c r="AG59" s="205">
        <f t="shared" si="4"/>
        <v>16.145</v>
      </c>
      <c r="AH59" s="205">
        <f t="shared" si="5"/>
        <v>17.38861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 spans="1:95" ht="15" thickBot="1" x14ac:dyDescent="0.35">
      <c r="A60" s="3" t="s">
        <v>41</v>
      </c>
      <c r="B60" s="207" t="s">
        <v>134</v>
      </c>
      <c r="C60" s="207" t="s">
        <v>135</v>
      </c>
      <c r="D60" s="207" t="s">
        <v>17</v>
      </c>
      <c r="E60" s="207">
        <v>22</v>
      </c>
      <c r="F60" s="3">
        <v>68.900000000000006</v>
      </c>
      <c r="G60" s="149">
        <v>4.5</v>
      </c>
      <c r="H60" s="50">
        <v>3.4</v>
      </c>
      <c r="I60" s="6">
        <v>8.8000000000000007</v>
      </c>
      <c r="J60" s="6">
        <v>6.8</v>
      </c>
      <c r="K60" s="41">
        <v>1.9</v>
      </c>
      <c r="L60" s="7">
        <v>122</v>
      </c>
      <c r="M60" s="207">
        <f t="shared" si="0"/>
        <v>40.200000000000003</v>
      </c>
      <c r="N60" s="128">
        <v>98.1</v>
      </c>
      <c r="O60" s="207">
        <f t="shared" si="1"/>
        <v>69.2</v>
      </c>
      <c r="P60" s="6">
        <v>30.5</v>
      </c>
      <c r="Q60" s="11">
        <v>60.4</v>
      </c>
      <c r="R60" s="8">
        <v>64.7</v>
      </c>
      <c r="S60" s="71">
        <v>10.3</v>
      </c>
      <c r="T60" s="41">
        <v>16.7</v>
      </c>
      <c r="U60" s="3">
        <v>16</v>
      </c>
      <c r="V60" s="3">
        <v>17.3</v>
      </c>
      <c r="W60" s="83">
        <v>3.6</v>
      </c>
      <c r="X60" s="3">
        <v>1.6</v>
      </c>
      <c r="Y60" s="14">
        <v>44.4</v>
      </c>
      <c r="Z60" s="145">
        <v>3.7</v>
      </c>
      <c r="AA60" s="205">
        <v>80.600000000000009</v>
      </c>
      <c r="AB60" s="205">
        <v>62.2</v>
      </c>
      <c r="AC60" s="14">
        <v>4.5</v>
      </c>
      <c r="AD60" s="205">
        <v>34.699999999999996</v>
      </c>
      <c r="AE60" s="205">
        <f t="shared" si="2"/>
        <v>33.064999999999998</v>
      </c>
      <c r="AF60" s="205">
        <f t="shared" si="3"/>
        <v>2.8127999999999993</v>
      </c>
      <c r="AG60" s="205">
        <f t="shared" si="4"/>
        <v>19.34</v>
      </c>
      <c r="AH60" s="205">
        <f t="shared" si="5"/>
        <v>19.871839999999999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 spans="1:95" ht="15" thickBot="1" x14ac:dyDescent="0.35">
      <c r="A61" s="3" t="s">
        <v>24</v>
      </c>
      <c r="B61" s="207" t="s">
        <v>136</v>
      </c>
      <c r="C61" s="207" t="s">
        <v>137</v>
      </c>
      <c r="D61" s="207" t="s">
        <v>62</v>
      </c>
      <c r="E61" s="207">
        <v>20</v>
      </c>
      <c r="F61" s="3">
        <v>80.900000000000006</v>
      </c>
      <c r="G61" s="149">
        <v>4.5</v>
      </c>
      <c r="H61" s="3">
        <v>2.2000000000000002</v>
      </c>
      <c r="I61" s="16">
        <v>4.4000000000000004</v>
      </c>
      <c r="J61" s="8">
        <v>5.4</v>
      </c>
      <c r="K61" s="3">
        <v>-1.1000000000000001</v>
      </c>
      <c r="L61" s="11">
        <v>121.4</v>
      </c>
      <c r="M61" s="207">
        <f t="shared" si="0"/>
        <v>36.9</v>
      </c>
      <c r="N61" s="151">
        <v>115.5</v>
      </c>
      <c r="O61" s="207">
        <f t="shared" si="1"/>
        <v>8.7999999999999972</v>
      </c>
      <c r="P61" s="11">
        <v>28.2</v>
      </c>
      <c r="Q61" s="3">
        <v>52.9</v>
      </c>
      <c r="R61" s="16">
        <v>60</v>
      </c>
      <c r="S61" s="123">
        <v>2.5</v>
      </c>
      <c r="T61" s="3">
        <v>13.5</v>
      </c>
      <c r="U61" s="20">
        <v>23.6</v>
      </c>
      <c r="V61" s="74">
        <v>11.6</v>
      </c>
      <c r="W61" s="3">
        <v>1.2</v>
      </c>
      <c r="X61" s="3">
        <v>2.2000000000000002</v>
      </c>
      <c r="Y61" s="40">
        <v>60.7</v>
      </c>
      <c r="Z61" s="14">
        <v>2.8</v>
      </c>
      <c r="AA61" s="205">
        <v>80.5</v>
      </c>
      <c r="AB61" s="205">
        <v>46.6</v>
      </c>
      <c r="AC61" s="32">
        <v>11.1</v>
      </c>
      <c r="AD61" s="205">
        <v>39.5</v>
      </c>
      <c r="AE61" s="205">
        <f t="shared" si="2"/>
        <v>33.97</v>
      </c>
      <c r="AF61" s="205">
        <f t="shared" si="3"/>
        <v>5.742</v>
      </c>
      <c r="AG61" s="205">
        <f t="shared" si="4"/>
        <v>6.34</v>
      </c>
      <c r="AH61" s="205">
        <f t="shared" si="5"/>
        <v>17.212600000000002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 spans="1:95" ht="15" thickBot="1" x14ac:dyDescent="0.35">
      <c r="A62" s="3" t="s">
        <v>41</v>
      </c>
      <c r="B62" s="207" t="s">
        <v>138</v>
      </c>
      <c r="C62" s="207" t="s">
        <v>114</v>
      </c>
      <c r="D62" s="207" t="s">
        <v>106</v>
      </c>
      <c r="E62" s="207">
        <v>20</v>
      </c>
      <c r="F62" s="3">
        <v>80</v>
      </c>
      <c r="G62" s="149">
        <v>4.5</v>
      </c>
      <c r="H62" s="5">
        <v>4.5</v>
      </c>
      <c r="I62" s="5">
        <v>10.4</v>
      </c>
      <c r="J62" s="6">
        <v>6.1</v>
      </c>
      <c r="K62" s="7">
        <v>4.3</v>
      </c>
      <c r="L62" s="6">
        <v>127.4</v>
      </c>
      <c r="M62" s="207">
        <f t="shared" si="0"/>
        <v>68.400000000000006</v>
      </c>
      <c r="N62" s="66">
        <v>93.5</v>
      </c>
      <c r="O62" s="207">
        <f t="shared" si="1"/>
        <v>85.3</v>
      </c>
      <c r="P62" s="3">
        <v>21.8</v>
      </c>
      <c r="Q62" s="20">
        <v>57.8</v>
      </c>
      <c r="R62" s="60">
        <v>61.4</v>
      </c>
      <c r="S62" s="3">
        <v>5.9</v>
      </c>
      <c r="T62" s="84">
        <v>15.7</v>
      </c>
      <c r="U62" s="3">
        <v>15.2</v>
      </c>
      <c r="V62" s="21">
        <v>11.2</v>
      </c>
      <c r="W62" s="3">
        <v>1.4</v>
      </c>
      <c r="X62" s="5">
        <v>4.5</v>
      </c>
      <c r="Y62" s="14">
        <v>36.4</v>
      </c>
      <c r="Z62" s="14">
        <v>2.9</v>
      </c>
      <c r="AA62" s="205">
        <v>78</v>
      </c>
      <c r="AB62" s="205">
        <v>58.699999999999996</v>
      </c>
      <c r="AC62" s="14">
        <v>6.4</v>
      </c>
      <c r="AD62" s="205">
        <v>37.1</v>
      </c>
      <c r="AE62" s="205">
        <f t="shared" si="2"/>
        <v>28.71</v>
      </c>
      <c r="AF62" s="205">
        <f t="shared" si="3"/>
        <v>2.6179999999999999</v>
      </c>
      <c r="AG62" s="205">
        <f t="shared" si="4"/>
        <v>23.495000000000001</v>
      </c>
      <c r="AH62" s="205">
        <f t="shared" si="5"/>
        <v>19.317900000000002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 spans="1:95" ht="15" thickBot="1" x14ac:dyDescent="0.35">
      <c r="A63" s="3" t="s">
        <v>21</v>
      </c>
      <c r="B63" s="207" t="s">
        <v>139</v>
      </c>
      <c r="C63" s="207" t="s">
        <v>126</v>
      </c>
      <c r="D63" s="207" t="s">
        <v>17</v>
      </c>
      <c r="E63" s="207">
        <v>23</v>
      </c>
      <c r="F63" s="3">
        <v>69.2</v>
      </c>
      <c r="G63" s="149">
        <v>4.5</v>
      </c>
      <c r="H63" s="19">
        <v>3.6</v>
      </c>
      <c r="I63" s="6">
        <v>8.8000000000000007</v>
      </c>
      <c r="J63" s="7">
        <v>4.9000000000000004</v>
      </c>
      <c r="K63" s="9">
        <v>3.9</v>
      </c>
      <c r="L63" s="8">
        <v>123.8</v>
      </c>
      <c r="M63" s="207">
        <f t="shared" si="0"/>
        <v>48.3</v>
      </c>
      <c r="N63" s="61">
        <v>97.1</v>
      </c>
      <c r="O63" s="207">
        <f t="shared" si="1"/>
        <v>73.2</v>
      </c>
      <c r="P63" s="60">
        <v>26.9</v>
      </c>
      <c r="Q63" s="20">
        <v>57.7</v>
      </c>
      <c r="R63" s="11">
        <v>62.9</v>
      </c>
      <c r="S63" s="107">
        <v>2.4</v>
      </c>
      <c r="T63" s="3">
        <v>12</v>
      </c>
      <c r="U63" s="5">
        <v>43.7</v>
      </c>
      <c r="V63" s="3">
        <v>19.399999999999999</v>
      </c>
      <c r="W63" s="67">
        <v>0.2</v>
      </c>
      <c r="X63" s="7">
        <v>3.5</v>
      </c>
      <c r="Y63" s="40">
        <v>60.5</v>
      </c>
      <c r="Z63" s="152">
        <v>4.5</v>
      </c>
      <c r="AA63" s="205">
        <v>77.100000000000009</v>
      </c>
      <c r="AB63" s="205">
        <v>53.6</v>
      </c>
      <c r="AC63" s="14">
        <v>3.9</v>
      </c>
      <c r="AD63" s="205">
        <v>47.699999999999996</v>
      </c>
      <c r="AE63" s="205">
        <f t="shared" si="2"/>
        <v>37.299999999999997</v>
      </c>
      <c r="AF63" s="205">
        <f t="shared" si="3"/>
        <v>28.022400000000005</v>
      </c>
      <c r="AG63" s="205">
        <f t="shared" si="4"/>
        <v>18.84</v>
      </c>
      <c r="AH63" s="205">
        <f t="shared" si="5"/>
        <v>28.978720000000003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 spans="1:95" ht="15" thickBot="1" x14ac:dyDescent="0.35">
      <c r="A64" s="3" t="s">
        <v>41</v>
      </c>
      <c r="B64" s="207" t="s">
        <v>140</v>
      </c>
      <c r="C64" s="207" t="s">
        <v>91</v>
      </c>
      <c r="D64" s="207" t="s">
        <v>20</v>
      </c>
      <c r="E64" s="207">
        <v>21</v>
      </c>
      <c r="F64" s="3">
        <v>77.3</v>
      </c>
      <c r="G64" s="149">
        <v>4.5</v>
      </c>
      <c r="H64" s="11">
        <v>3.7</v>
      </c>
      <c r="I64" s="9">
        <v>6.1</v>
      </c>
      <c r="J64" s="11">
        <v>4.8</v>
      </c>
      <c r="K64" s="76">
        <v>1.3</v>
      </c>
      <c r="L64" s="60">
        <v>118.3</v>
      </c>
      <c r="M64" s="207">
        <f t="shared" si="0"/>
        <v>18.7</v>
      </c>
      <c r="N64" s="3">
        <v>101.1</v>
      </c>
      <c r="O64" s="207">
        <f t="shared" si="1"/>
        <v>56.4</v>
      </c>
      <c r="P64" s="16">
        <v>25.7</v>
      </c>
      <c r="Q64" s="3">
        <v>50.7</v>
      </c>
      <c r="R64" s="55">
        <v>58</v>
      </c>
      <c r="S64" s="3">
        <v>4.4000000000000004</v>
      </c>
      <c r="T64" s="3">
        <v>13.2</v>
      </c>
      <c r="U64" s="3">
        <v>13.4</v>
      </c>
      <c r="V64" s="21">
        <v>11</v>
      </c>
      <c r="W64" s="107">
        <v>0</v>
      </c>
      <c r="X64" s="3">
        <v>2.2000000000000002</v>
      </c>
      <c r="Y64" s="114">
        <v>48.9</v>
      </c>
      <c r="Z64" s="14">
        <v>2.8</v>
      </c>
      <c r="AA64" s="205">
        <v>85</v>
      </c>
      <c r="AB64" s="205">
        <v>44.5</v>
      </c>
      <c r="AC64" s="57">
        <v>12</v>
      </c>
      <c r="AD64" s="205">
        <v>37.5</v>
      </c>
      <c r="AE64" s="205">
        <f t="shared" si="2"/>
        <v>30.009999999999998</v>
      </c>
      <c r="AF64" s="205">
        <f t="shared" si="3"/>
        <v>2.0354999999999994</v>
      </c>
      <c r="AG64" s="205">
        <f t="shared" si="4"/>
        <v>13.354999999999999</v>
      </c>
      <c r="AH64" s="205">
        <f t="shared" si="5"/>
        <v>16.62115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 spans="1:95" ht="15" thickBot="1" x14ac:dyDescent="0.35">
      <c r="A65" s="3" t="s">
        <v>41</v>
      </c>
      <c r="B65" s="207" t="s">
        <v>141</v>
      </c>
      <c r="C65" s="207" t="s">
        <v>142</v>
      </c>
      <c r="D65" s="207" t="s">
        <v>30</v>
      </c>
      <c r="E65" s="207">
        <v>16</v>
      </c>
      <c r="F65" s="3">
        <v>53</v>
      </c>
      <c r="G65" s="149">
        <v>4.4000000000000004</v>
      </c>
      <c r="H65" s="3">
        <v>2.6</v>
      </c>
      <c r="I65" s="11">
        <v>6.4</v>
      </c>
      <c r="J65" s="6">
        <v>6</v>
      </c>
      <c r="K65" s="3">
        <v>0.4</v>
      </c>
      <c r="L65" s="8">
        <v>123.1</v>
      </c>
      <c r="M65" s="207">
        <f t="shared" si="0"/>
        <v>43.6</v>
      </c>
      <c r="N65" s="153">
        <v>108.8</v>
      </c>
      <c r="O65" s="207">
        <f t="shared" si="1"/>
        <v>26.900000000000006</v>
      </c>
      <c r="P65" s="60">
        <v>26.9</v>
      </c>
      <c r="Q65" s="3">
        <v>49.4</v>
      </c>
      <c r="R65" s="3">
        <v>56</v>
      </c>
      <c r="S65" s="119">
        <v>1.3</v>
      </c>
      <c r="T65" s="107">
        <v>8.5</v>
      </c>
      <c r="U65" s="5">
        <v>41.8</v>
      </c>
      <c r="V65" s="113">
        <v>11.8</v>
      </c>
      <c r="W65" s="3">
        <v>0.9</v>
      </c>
      <c r="X65" s="3">
        <v>1.8</v>
      </c>
      <c r="Y65" s="14">
        <v>43.1</v>
      </c>
      <c r="Z65" s="120">
        <v>2</v>
      </c>
      <c r="AA65" s="205">
        <v>83.3</v>
      </c>
      <c r="AB65" s="205">
        <v>50.7</v>
      </c>
      <c r="AC65" s="14">
        <v>5.2</v>
      </c>
      <c r="AD65" s="205">
        <v>30.2</v>
      </c>
      <c r="AE65" s="205">
        <f t="shared" si="2"/>
        <v>33.53</v>
      </c>
      <c r="AF65" s="205">
        <f t="shared" si="3"/>
        <v>12.452799999999996</v>
      </c>
      <c r="AG65" s="205">
        <f t="shared" si="4"/>
        <v>9.3550000000000004</v>
      </c>
      <c r="AH65" s="205">
        <f t="shared" si="5"/>
        <v>19.954339999999998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 spans="1:95" ht="15" thickBot="1" x14ac:dyDescent="0.35">
      <c r="A66" s="3" t="s">
        <v>24</v>
      </c>
      <c r="B66" s="207" t="s">
        <v>143</v>
      </c>
      <c r="C66" s="207" t="s">
        <v>59</v>
      </c>
      <c r="D66" s="207" t="s">
        <v>20</v>
      </c>
      <c r="E66" s="207">
        <v>21</v>
      </c>
      <c r="F66" s="3">
        <v>59.2</v>
      </c>
      <c r="G66" s="149">
        <v>4.4000000000000004</v>
      </c>
      <c r="H66" s="6">
        <v>4.0999999999999996</v>
      </c>
      <c r="I66" s="5">
        <v>12.6</v>
      </c>
      <c r="J66" s="6">
        <v>7</v>
      </c>
      <c r="K66" s="6">
        <v>5.6</v>
      </c>
      <c r="L66" s="5">
        <v>135.69999999999999</v>
      </c>
      <c r="M66" s="207">
        <f t="shared" si="0"/>
        <v>89.9</v>
      </c>
      <c r="N66" s="94">
        <v>84</v>
      </c>
      <c r="O66" s="207">
        <f t="shared" si="1"/>
        <v>98.7</v>
      </c>
      <c r="P66" s="3">
        <v>21</v>
      </c>
      <c r="Q66" s="5">
        <v>70.3</v>
      </c>
      <c r="R66" s="5">
        <v>73.099999999999994</v>
      </c>
      <c r="S66" s="11">
        <v>11.8</v>
      </c>
      <c r="T66" s="50">
        <v>19</v>
      </c>
      <c r="U66" s="3">
        <v>9.6999999999999993</v>
      </c>
      <c r="V66" s="121">
        <v>15.4</v>
      </c>
      <c r="W66" s="11">
        <v>5.6</v>
      </c>
      <c r="X66" s="3">
        <v>1.8</v>
      </c>
      <c r="Y66" s="130">
        <v>50.6</v>
      </c>
      <c r="Z66" s="154">
        <v>3.8</v>
      </c>
      <c r="AA66" s="205">
        <v>80.2</v>
      </c>
      <c r="AB66" s="205">
        <v>70.899999999999991</v>
      </c>
      <c r="AC66" s="155">
        <v>1.3</v>
      </c>
      <c r="AD66" s="205">
        <v>41.699999999999996</v>
      </c>
      <c r="AE66" s="205">
        <f t="shared" si="2"/>
        <v>31.97</v>
      </c>
      <c r="AF66" s="205">
        <f t="shared" si="3"/>
        <v>-0.9672000000000005</v>
      </c>
      <c r="AG66" s="205">
        <f t="shared" si="4"/>
        <v>28.035</v>
      </c>
      <c r="AH66" s="205">
        <f t="shared" si="5"/>
        <v>20.908339999999999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 spans="1:95" ht="15" thickBot="1" x14ac:dyDescent="0.35">
      <c r="A67" s="3" t="s">
        <v>21</v>
      </c>
      <c r="B67" s="207" t="s">
        <v>144</v>
      </c>
      <c r="C67" s="207" t="s">
        <v>145</v>
      </c>
      <c r="D67" s="207" t="s">
        <v>146</v>
      </c>
      <c r="E67" s="207">
        <v>21</v>
      </c>
      <c r="F67" s="3">
        <v>78.599999999999994</v>
      </c>
      <c r="G67" s="149">
        <v>4.4000000000000004</v>
      </c>
      <c r="H67" s="90">
        <v>1.3</v>
      </c>
      <c r="I67" s="34">
        <v>3.5</v>
      </c>
      <c r="J67" s="7">
        <v>5.0999999999999996</v>
      </c>
      <c r="K67" s="86">
        <v>-1.7</v>
      </c>
      <c r="L67" s="84">
        <v>109.4</v>
      </c>
      <c r="M67" s="207">
        <f t="shared" ref="M67:M130" si="6">(_xlfn.PERCENTRANK.INC($L$2:$L$151,L67)*100)</f>
        <v>1.3</v>
      </c>
      <c r="N67" s="156">
        <v>122.3</v>
      </c>
      <c r="O67" s="207">
        <f t="shared" ref="O67:O130" si="7">100-(_xlfn.PERCENTRANK.INC($N$2:$N$151,N67)*100)</f>
        <v>2.7000000000000028</v>
      </c>
      <c r="P67" s="5">
        <v>36.4</v>
      </c>
      <c r="Q67" s="3">
        <v>49.1</v>
      </c>
      <c r="R67" s="84">
        <v>57</v>
      </c>
      <c r="S67" s="37">
        <v>1.7</v>
      </c>
      <c r="T67" s="111">
        <v>6.6</v>
      </c>
      <c r="U67" s="5">
        <v>50.3</v>
      </c>
      <c r="V67" s="3">
        <v>16.8</v>
      </c>
      <c r="W67" s="54">
        <v>0.5</v>
      </c>
      <c r="X67" s="29">
        <v>2.5</v>
      </c>
      <c r="Y67" s="69">
        <v>49.9</v>
      </c>
      <c r="Z67" s="142">
        <v>2.5</v>
      </c>
      <c r="AA67" s="205">
        <v>85.5</v>
      </c>
      <c r="AB67" s="205">
        <v>48.8</v>
      </c>
      <c r="AC67" s="14">
        <v>8</v>
      </c>
      <c r="AD67" s="205">
        <v>33.300000000000004</v>
      </c>
      <c r="AE67" s="205">
        <f t="shared" ref="AE67:AE130" si="8">(0.3*P67)+(0.25*R67)+(0.2*G67)+(0.15*U67)+(0.1*Y67)</f>
        <v>38.585000000000001</v>
      </c>
      <c r="AF67" s="205">
        <f t="shared" ref="AF67:AF130" si="9">((U67+G67)-V67)*_xlfn.PERCENTRANK.INC($V$2:$V$151,V67)</f>
        <v>32.556099999999994</v>
      </c>
      <c r="AG67" s="205">
        <f t="shared" ref="AG67:AG130" si="10">(0.35*I67)+(0.2*K67)+(0.15*O67)+(0.15+X67)+(0.15+W67)</f>
        <v>4.5900000000000007</v>
      </c>
      <c r="AH67" s="205">
        <f t="shared" ref="AH67:AH130" si="11">(AE67*0.4)+(AF67*0.3)+(AG67*0.3)</f>
        <v>26.577829999999995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 spans="1:95" ht="15" thickBot="1" x14ac:dyDescent="0.35">
      <c r="A68" s="3" t="s">
        <v>21</v>
      </c>
      <c r="B68" s="207" t="s">
        <v>147</v>
      </c>
      <c r="C68" s="207" t="s">
        <v>98</v>
      </c>
      <c r="D68" s="207" t="s">
        <v>27</v>
      </c>
      <c r="E68" s="207">
        <v>22</v>
      </c>
      <c r="F68" s="3">
        <v>79.8</v>
      </c>
      <c r="G68" s="149">
        <v>4.4000000000000004</v>
      </c>
      <c r="H68" s="5">
        <v>4.5999999999999996</v>
      </c>
      <c r="I68" s="8">
        <v>7.9</v>
      </c>
      <c r="J68" s="7">
        <v>5.2</v>
      </c>
      <c r="K68" s="16">
        <v>2.8</v>
      </c>
      <c r="L68" s="11">
        <v>121</v>
      </c>
      <c r="M68" s="207">
        <f t="shared" si="6"/>
        <v>35.5</v>
      </c>
      <c r="N68" s="113">
        <v>92.8</v>
      </c>
      <c r="O68" s="207">
        <f t="shared" si="7"/>
        <v>88</v>
      </c>
      <c r="P68" s="3">
        <v>21.9</v>
      </c>
      <c r="Q68" s="71">
        <v>57.9</v>
      </c>
      <c r="R68" s="8">
        <v>64.599999999999994</v>
      </c>
      <c r="S68" s="58">
        <v>7.7</v>
      </c>
      <c r="T68" s="105">
        <v>15.3</v>
      </c>
      <c r="U68" s="3">
        <v>12.5</v>
      </c>
      <c r="V68" s="3">
        <v>17.399999999999999</v>
      </c>
      <c r="W68" s="3">
        <v>1.4</v>
      </c>
      <c r="X68" s="43">
        <v>1.4</v>
      </c>
      <c r="Y68" s="24">
        <v>55.6</v>
      </c>
      <c r="Z68" s="87">
        <v>2.6</v>
      </c>
      <c r="AA68" s="205">
        <v>85.3</v>
      </c>
      <c r="AB68" s="205">
        <v>51.300000000000004</v>
      </c>
      <c r="AC68" s="14">
        <v>6.9</v>
      </c>
      <c r="AD68" s="205">
        <v>44.6</v>
      </c>
      <c r="AE68" s="205">
        <f t="shared" si="8"/>
        <v>31.034999999999997</v>
      </c>
      <c r="AF68" s="205">
        <f t="shared" si="9"/>
        <v>-0.4425</v>
      </c>
      <c r="AG68" s="205">
        <f t="shared" si="10"/>
        <v>19.625</v>
      </c>
      <c r="AH68" s="205">
        <f t="shared" si="11"/>
        <v>18.168749999999999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 spans="1:95" ht="15" thickBot="1" x14ac:dyDescent="0.35">
      <c r="A69" s="3" t="s">
        <v>21</v>
      </c>
      <c r="B69" s="207" t="s">
        <v>148</v>
      </c>
      <c r="C69" s="207" t="s">
        <v>26</v>
      </c>
      <c r="D69" s="207" t="s">
        <v>27</v>
      </c>
      <c r="E69" s="207">
        <v>22</v>
      </c>
      <c r="F69" s="3">
        <v>83.6</v>
      </c>
      <c r="G69" s="149">
        <v>4.4000000000000004</v>
      </c>
      <c r="H69" s="8">
        <v>4</v>
      </c>
      <c r="I69" s="7">
        <v>7.2</v>
      </c>
      <c r="J69" s="19">
        <v>4.0999999999999996</v>
      </c>
      <c r="K69" s="71">
        <v>3.1</v>
      </c>
      <c r="L69" s="5">
        <v>139.1</v>
      </c>
      <c r="M69" s="207">
        <f t="shared" si="6"/>
        <v>95.3</v>
      </c>
      <c r="N69" s="3">
        <v>99.4</v>
      </c>
      <c r="O69" s="207">
        <f t="shared" si="7"/>
        <v>65.2</v>
      </c>
      <c r="P69" s="157">
        <v>12.2</v>
      </c>
      <c r="Q69" s="6">
        <v>64</v>
      </c>
      <c r="R69" s="8">
        <v>65.3</v>
      </c>
      <c r="S69" s="85">
        <v>2.2999999999999998</v>
      </c>
      <c r="T69" s="123">
        <v>8.6999999999999993</v>
      </c>
      <c r="U69" s="95">
        <v>3.5</v>
      </c>
      <c r="V69" s="5">
        <v>4.5</v>
      </c>
      <c r="W69" s="43">
        <v>0.4</v>
      </c>
      <c r="X69" s="3">
        <v>2.2000000000000002</v>
      </c>
      <c r="Y69" s="158">
        <v>12.4</v>
      </c>
      <c r="Z69" s="14">
        <v>3.2</v>
      </c>
      <c r="AA69" s="205">
        <v>83.3</v>
      </c>
      <c r="AB69" s="205">
        <v>53.300000000000004</v>
      </c>
      <c r="AC69" s="77">
        <v>13.9</v>
      </c>
      <c r="AD69" s="205">
        <v>43.3</v>
      </c>
      <c r="AE69" s="205">
        <f t="shared" si="8"/>
        <v>22.629999999999995</v>
      </c>
      <c r="AF69" s="205">
        <f t="shared" si="9"/>
        <v>4.4200000000000003E-2</v>
      </c>
      <c r="AG69" s="205">
        <f t="shared" si="10"/>
        <v>15.82</v>
      </c>
      <c r="AH69" s="205">
        <f t="shared" si="11"/>
        <v>13.811259999999997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 spans="1:95" ht="15" thickBot="1" x14ac:dyDescent="0.35">
      <c r="A70" s="3" t="s">
        <v>21</v>
      </c>
      <c r="B70" s="207" t="s">
        <v>149</v>
      </c>
      <c r="C70" s="207" t="s">
        <v>112</v>
      </c>
      <c r="D70" s="207" t="s">
        <v>30</v>
      </c>
      <c r="E70" s="207">
        <v>22</v>
      </c>
      <c r="F70" s="3">
        <v>73.400000000000006</v>
      </c>
      <c r="G70" s="149">
        <v>4.4000000000000004</v>
      </c>
      <c r="H70" s="60">
        <v>3.5</v>
      </c>
      <c r="I70" s="6">
        <v>9.6</v>
      </c>
      <c r="J70" s="5">
        <v>7.6</v>
      </c>
      <c r="K70" s="35">
        <v>2</v>
      </c>
      <c r="L70" s="5">
        <v>138.6</v>
      </c>
      <c r="M70" s="207">
        <f t="shared" si="6"/>
        <v>94.6</v>
      </c>
      <c r="N70" s="3">
        <v>99.6</v>
      </c>
      <c r="O70" s="207">
        <f t="shared" si="7"/>
        <v>63.800000000000004</v>
      </c>
      <c r="P70" s="52">
        <v>16.2</v>
      </c>
      <c r="Q70" s="5">
        <v>67.3</v>
      </c>
      <c r="R70" s="5">
        <v>68.599999999999994</v>
      </c>
      <c r="S70" s="86">
        <v>2.9</v>
      </c>
      <c r="T70" s="43">
        <v>9.3000000000000007</v>
      </c>
      <c r="U70" s="123">
        <v>7.9</v>
      </c>
      <c r="V70" s="94">
        <v>6.3</v>
      </c>
      <c r="W70" s="3">
        <v>2.6</v>
      </c>
      <c r="X70" s="3">
        <v>1.6</v>
      </c>
      <c r="Y70" s="159">
        <v>14.3</v>
      </c>
      <c r="Z70" s="120">
        <v>2</v>
      </c>
      <c r="AA70" s="205">
        <v>83.899999999999991</v>
      </c>
      <c r="AB70" s="205">
        <v>66.7</v>
      </c>
      <c r="AC70" s="77">
        <v>13.6</v>
      </c>
      <c r="AD70" s="205">
        <v>45</v>
      </c>
      <c r="AE70" s="205">
        <f t="shared" si="8"/>
        <v>25.504999999999995</v>
      </c>
      <c r="AF70" s="205">
        <f t="shared" si="9"/>
        <v>0.19800000000000004</v>
      </c>
      <c r="AG70" s="205">
        <f t="shared" si="10"/>
        <v>17.829999999999998</v>
      </c>
      <c r="AH70" s="205">
        <f t="shared" si="11"/>
        <v>15.610399999999998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 spans="1:95" ht="15" thickBot="1" x14ac:dyDescent="0.35">
      <c r="A71" s="3" t="s">
        <v>21</v>
      </c>
      <c r="B71" s="207" t="s">
        <v>150</v>
      </c>
      <c r="C71" s="207" t="s">
        <v>151</v>
      </c>
      <c r="D71" s="207" t="s">
        <v>152</v>
      </c>
      <c r="E71" s="207">
        <v>23</v>
      </c>
      <c r="F71" s="3">
        <v>83</v>
      </c>
      <c r="G71" s="149">
        <v>4.4000000000000004</v>
      </c>
      <c r="H71" s="5">
        <v>4.8</v>
      </c>
      <c r="I71" s="6">
        <v>8.4</v>
      </c>
      <c r="J71" s="7">
        <v>4.9000000000000004</v>
      </c>
      <c r="K71" s="19">
        <v>3.5</v>
      </c>
      <c r="L71" s="6">
        <v>128.80000000000001</v>
      </c>
      <c r="M71" s="207">
        <f t="shared" si="6"/>
        <v>77.100000000000009</v>
      </c>
      <c r="N71" s="74">
        <v>92.3</v>
      </c>
      <c r="O71" s="207">
        <f t="shared" si="7"/>
        <v>90</v>
      </c>
      <c r="P71" s="3">
        <v>17.7</v>
      </c>
      <c r="Q71" s="18">
        <v>55.7</v>
      </c>
      <c r="R71" s="46">
        <v>58.8</v>
      </c>
      <c r="S71" s="3">
        <v>7.2</v>
      </c>
      <c r="T71" s="3">
        <v>12.3</v>
      </c>
      <c r="U71" s="3">
        <v>12</v>
      </c>
      <c r="V71" s="125">
        <v>8.3000000000000007</v>
      </c>
      <c r="W71" s="76">
        <v>3.1</v>
      </c>
      <c r="X71" s="3">
        <v>1.6</v>
      </c>
      <c r="Y71" s="100">
        <v>23.4</v>
      </c>
      <c r="Z71" s="87">
        <v>2.6</v>
      </c>
      <c r="AA71" s="205">
        <v>81.8</v>
      </c>
      <c r="AB71" s="205">
        <v>51.5</v>
      </c>
      <c r="AC71" s="14">
        <v>8</v>
      </c>
      <c r="AD71" s="205">
        <v>40.799999999999997</v>
      </c>
      <c r="AE71" s="205">
        <f t="shared" si="8"/>
        <v>25.029999999999998</v>
      </c>
      <c r="AF71" s="205">
        <f t="shared" si="9"/>
        <v>0.80999999999999983</v>
      </c>
      <c r="AG71" s="205">
        <f t="shared" si="10"/>
        <v>22.14</v>
      </c>
      <c r="AH71" s="205">
        <f t="shared" si="11"/>
        <v>16.897000000000002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 spans="1:95" ht="15" thickBot="1" x14ac:dyDescent="0.35">
      <c r="A72" s="3" t="s">
        <v>21</v>
      </c>
      <c r="B72" s="207" t="s">
        <v>153</v>
      </c>
      <c r="C72" s="207" t="s">
        <v>154</v>
      </c>
      <c r="D72" s="207" t="s">
        <v>17</v>
      </c>
      <c r="E72" s="207">
        <v>20</v>
      </c>
      <c r="F72" s="3">
        <v>71.3</v>
      </c>
      <c r="G72" s="160">
        <v>4.3</v>
      </c>
      <c r="H72" s="6">
        <v>4.2</v>
      </c>
      <c r="I72" s="8">
        <v>8</v>
      </c>
      <c r="J72" s="8">
        <v>5.8</v>
      </c>
      <c r="K72" s="46">
        <v>2.2000000000000002</v>
      </c>
      <c r="L72" s="50">
        <v>117.4</v>
      </c>
      <c r="M72" s="207">
        <f t="shared" si="6"/>
        <v>14.000000000000002</v>
      </c>
      <c r="N72" s="143">
        <v>94.2</v>
      </c>
      <c r="O72" s="207">
        <f t="shared" si="7"/>
        <v>82.6</v>
      </c>
      <c r="P72" s="60">
        <v>27</v>
      </c>
      <c r="Q72" s="3">
        <v>52.4</v>
      </c>
      <c r="R72" s="58">
        <v>56.8</v>
      </c>
      <c r="S72" s="28">
        <v>2.8</v>
      </c>
      <c r="T72" s="3">
        <v>14.7</v>
      </c>
      <c r="U72" s="3">
        <v>16.100000000000001</v>
      </c>
      <c r="V72" s="74">
        <v>11.7</v>
      </c>
      <c r="W72" s="3">
        <v>0.6</v>
      </c>
      <c r="X72" s="29">
        <v>2.5</v>
      </c>
      <c r="Y72" s="14">
        <v>30.4</v>
      </c>
      <c r="Z72" s="161">
        <v>4.0999999999999996</v>
      </c>
      <c r="AA72" s="205">
        <v>83.1</v>
      </c>
      <c r="AB72" s="205">
        <v>49.4</v>
      </c>
      <c r="AC72" s="15">
        <v>18.899999999999999</v>
      </c>
      <c r="AD72" s="205">
        <v>35.799999999999997</v>
      </c>
      <c r="AE72" s="205">
        <f t="shared" si="8"/>
        <v>28.614999999999995</v>
      </c>
      <c r="AF72" s="205">
        <f t="shared" si="9"/>
        <v>3.0885000000000007</v>
      </c>
      <c r="AG72" s="205">
        <f t="shared" si="10"/>
        <v>19.029999999999998</v>
      </c>
      <c r="AH72" s="205">
        <f t="shared" si="11"/>
        <v>18.081549999999996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 spans="1:95" ht="15" thickBot="1" x14ac:dyDescent="0.35">
      <c r="A73" s="3" t="s">
        <v>21</v>
      </c>
      <c r="B73" s="207" t="s">
        <v>155</v>
      </c>
      <c r="C73" s="207" t="s">
        <v>156</v>
      </c>
      <c r="D73" s="207" t="s">
        <v>152</v>
      </c>
      <c r="E73" s="207">
        <v>22</v>
      </c>
      <c r="F73" s="3">
        <v>73.3</v>
      </c>
      <c r="G73" s="160">
        <v>4.3</v>
      </c>
      <c r="H73" s="6">
        <v>4.0999999999999996</v>
      </c>
      <c r="I73" s="5">
        <v>11.1</v>
      </c>
      <c r="J73" s="6">
        <v>6.8</v>
      </c>
      <c r="K73" s="7">
        <v>4.3</v>
      </c>
      <c r="L73" s="9">
        <v>120</v>
      </c>
      <c r="M73" s="207">
        <f t="shared" si="6"/>
        <v>27.500000000000004</v>
      </c>
      <c r="N73" s="82">
        <v>93.3</v>
      </c>
      <c r="O73" s="207">
        <f t="shared" si="7"/>
        <v>86</v>
      </c>
      <c r="P73" s="50">
        <v>26.5</v>
      </c>
      <c r="Q73" s="41">
        <v>55.1</v>
      </c>
      <c r="R73" s="16">
        <v>60.1</v>
      </c>
      <c r="S73" s="6">
        <v>13.9</v>
      </c>
      <c r="T73" s="3">
        <v>14</v>
      </c>
      <c r="U73" s="55">
        <v>20.5</v>
      </c>
      <c r="V73" s="3">
        <v>17.2</v>
      </c>
      <c r="W73" s="6">
        <v>6.8</v>
      </c>
      <c r="X73" s="3">
        <v>2.2000000000000002</v>
      </c>
      <c r="Y73" s="15">
        <v>81.2</v>
      </c>
      <c r="Z73" s="145">
        <v>3.7</v>
      </c>
      <c r="AA73" s="205">
        <v>69.599999999999994</v>
      </c>
      <c r="AB73" s="205">
        <v>56.599999999999994</v>
      </c>
      <c r="AC73" s="162">
        <v>2.7</v>
      </c>
      <c r="AD73" s="205">
        <v>31.3</v>
      </c>
      <c r="AE73" s="205">
        <f t="shared" si="8"/>
        <v>35.03</v>
      </c>
      <c r="AF73" s="205">
        <f t="shared" si="9"/>
        <v>6.6272000000000011</v>
      </c>
      <c r="AG73" s="205">
        <f t="shared" si="10"/>
        <v>26.945</v>
      </c>
      <c r="AH73" s="205">
        <f t="shared" si="11"/>
        <v>24.083660000000002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 spans="1:95" ht="15" thickBot="1" x14ac:dyDescent="0.35">
      <c r="A74" s="3" t="s">
        <v>41</v>
      </c>
      <c r="B74" s="207" t="s">
        <v>157</v>
      </c>
      <c r="C74" s="207" t="s">
        <v>72</v>
      </c>
      <c r="D74" s="207" t="s">
        <v>27</v>
      </c>
      <c r="E74" s="207">
        <v>22</v>
      </c>
      <c r="F74" s="3">
        <v>77.5</v>
      </c>
      <c r="G74" s="160">
        <v>4.3</v>
      </c>
      <c r="H74" s="3">
        <v>2.5</v>
      </c>
      <c r="I74" s="63">
        <v>4</v>
      </c>
      <c r="J74" s="9">
        <v>4.2</v>
      </c>
      <c r="K74" s="3">
        <v>-0.2</v>
      </c>
      <c r="L74" s="6">
        <v>128.4</v>
      </c>
      <c r="M74" s="207">
        <f t="shared" si="6"/>
        <v>74.400000000000006</v>
      </c>
      <c r="N74" s="134">
        <v>111</v>
      </c>
      <c r="O74" s="207">
        <f t="shared" si="7"/>
        <v>19.5</v>
      </c>
      <c r="P74" s="3">
        <v>19.600000000000001</v>
      </c>
      <c r="Q74" s="7">
        <v>61.1</v>
      </c>
      <c r="R74" s="11">
        <v>63.1</v>
      </c>
      <c r="S74" s="119">
        <v>1.2</v>
      </c>
      <c r="T74" s="163">
        <v>5.5</v>
      </c>
      <c r="U74" s="9">
        <v>26.4</v>
      </c>
      <c r="V74" s="113">
        <v>11.9</v>
      </c>
      <c r="W74" s="67">
        <v>0.2</v>
      </c>
      <c r="X74" s="3">
        <v>1.7</v>
      </c>
      <c r="Y74" s="100">
        <v>23</v>
      </c>
      <c r="Z74" s="14">
        <v>3</v>
      </c>
      <c r="AA74" s="205">
        <v>78</v>
      </c>
      <c r="AB74" s="205">
        <v>54.2</v>
      </c>
      <c r="AC74" s="14">
        <v>5.3</v>
      </c>
      <c r="AD74" s="205">
        <v>51.6</v>
      </c>
      <c r="AE74" s="205">
        <f t="shared" si="8"/>
        <v>28.775000000000002</v>
      </c>
      <c r="AF74" s="205">
        <f t="shared" si="9"/>
        <v>7.1815999999999987</v>
      </c>
      <c r="AG74" s="205">
        <f t="shared" si="10"/>
        <v>6.4849999999999994</v>
      </c>
      <c r="AH74" s="205">
        <f t="shared" si="11"/>
        <v>15.60998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 spans="1:95" ht="15" thickBot="1" x14ac:dyDescent="0.35">
      <c r="A75" s="3" t="s">
        <v>21</v>
      </c>
      <c r="B75" s="207" t="s">
        <v>158</v>
      </c>
      <c r="C75" s="207" t="s">
        <v>112</v>
      </c>
      <c r="D75" s="207" t="s">
        <v>30</v>
      </c>
      <c r="E75" s="207">
        <v>18</v>
      </c>
      <c r="F75" s="3">
        <v>59</v>
      </c>
      <c r="G75" s="160">
        <v>4.3</v>
      </c>
      <c r="H75" s="6">
        <v>4.3</v>
      </c>
      <c r="I75" s="5">
        <v>10.3</v>
      </c>
      <c r="J75" s="11">
        <v>4.8</v>
      </c>
      <c r="K75" s="6">
        <v>5.5</v>
      </c>
      <c r="L75" s="8">
        <v>123.5</v>
      </c>
      <c r="M75" s="207">
        <f t="shared" si="6"/>
        <v>45.6</v>
      </c>
      <c r="N75" s="21">
        <v>91.2</v>
      </c>
      <c r="O75" s="207">
        <f t="shared" si="7"/>
        <v>91.3</v>
      </c>
      <c r="P75" s="27">
        <v>25.6</v>
      </c>
      <c r="Q75" s="3">
        <v>52.6</v>
      </c>
      <c r="R75" s="71">
        <v>60.9</v>
      </c>
      <c r="S75" s="89">
        <v>1.1000000000000001</v>
      </c>
      <c r="T75" s="3">
        <v>10.3</v>
      </c>
      <c r="U75" s="50">
        <v>25</v>
      </c>
      <c r="V75" s="10">
        <v>13.2</v>
      </c>
      <c r="W75" s="3">
        <v>1.3</v>
      </c>
      <c r="X75" s="5">
        <v>5.3</v>
      </c>
      <c r="Y75" s="133">
        <v>54.4</v>
      </c>
      <c r="Z75" s="161">
        <v>4.0999999999999996</v>
      </c>
      <c r="AA75" s="205">
        <v>88.7</v>
      </c>
      <c r="AB75" s="205">
        <v>53.6</v>
      </c>
      <c r="AC75" s="130">
        <v>9</v>
      </c>
      <c r="AD75" s="205">
        <v>34.1</v>
      </c>
      <c r="AE75" s="205">
        <f t="shared" si="8"/>
        <v>32.954999999999998</v>
      </c>
      <c r="AF75" s="205">
        <f t="shared" si="9"/>
        <v>8.5330000000000013</v>
      </c>
      <c r="AG75" s="205">
        <f t="shared" si="10"/>
        <v>25.299999999999997</v>
      </c>
      <c r="AH75" s="205">
        <f t="shared" si="11"/>
        <v>23.331900000000001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 spans="1:95" ht="15" thickBot="1" x14ac:dyDescent="0.35">
      <c r="A76" s="3" t="s">
        <v>21</v>
      </c>
      <c r="B76" s="207" t="s">
        <v>159</v>
      </c>
      <c r="C76" s="207" t="s">
        <v>160</v>
      </c>
      <c r="D76" s="207" t="s">
        <v>78</v>
      </c>
      <c r="E76" s="207">
        <v>21</v>
      </c>
      <c r="F76" s="3">
        <v>78.400000000000006</v>
      </c>
      <c r="G76" s="160">
        <v>4.3</v>
      </c>
      <c r="H76" s="3">
        <v>2.6</v>
      </c>
      <c r="I76" s="34">
        <v>3.5</v>
      </c>
      <c r="J76" s="9">
        <v>4.3</v>
      </c>
      <c r="K76" s="3">
        <v>-0.8</v>
      </c>
      <c r="L76" s="6">
        <v>126.2</v>
      </c>
      <c r="M76" s="207">
        <f t="shared" si="6"/>
        <v>61</v>
      </c>
      <c r="N76" s="164">
        <v>110.1</v>
      </c>
      <c r="O76" s="207">
        <f t="shared" si="7"/>
        <v>22.899999999999991</v>
      </c>
      <c r="P76" s="105">
        <v>23</v>
      </c>
      <c r="Q76" s="60">
        <v>59</v>
      </c>
      <c r="R76" s="19">
        <v>62.2</v>
      </c>
      <c r="S76" s="50">
        <v>10.5</v>
      </c>
      <c r="T76" s="20">
        <v>18.5</v>
      </c>
      <c r="U76" s="3">
        <v>13.2</v>
      </c>
      <c r="V76" s="102">
        <v>9.9</v>
      </c>
      <c r="W76" s="3">
        <v>2.5</v>
      </c>
      <c r="X76" s="119">
        <v>1</v>
      </c>
      <c r="Y76" s="14">
        <v>32.9</v>
      </c>
      <c r="Z76" s="87">
        <v>2.6</v>
      </c>
      <c r="AA76" s="205">
        <v>78.5</v>
      </c>
      <c r="AB76" s="205">
        <v>61.1</v>
      </c>
      <c r="AC76" s="150">
        <v>1</v>
      </c>
      <c r="AD76" s="205">
        <v>9.1</v>
      </c>
      <c r="AE76" s="205">
        <f t="shared" si="8"/>
        <v>28.58</v>
      </c>
      <c r="AF76" s="205">
        <f t="shared" si="9"/>
        <v>1.8315999999999999</v>
      </c>
      <c r="AG76" s="205">
        <f t="shared" si="10"/>
        <v>8.2999999999999989</v>
      </c>
      <c r="AH76" s="205">
        <f t="shared" si="11"/>
        <v>14.471480000000001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 spans="1:95" ht="15" thickBot="1" x14ac:dyDescent="0.35">
      <c r="A77" s="3" t="s">
        <v>21</v>
      </c>
      <c r="B77" s="207" t="s">
        <v>161</v>
      </c>
      <c r="C77" s="207" t="s">
        <v>135</v>
      </c>
      <c r="D77" s="207" t="s">
        <v>17</v>
      </c>
      <c r="E77" s="207">
        <v>22</v>
      </c>
      <c r="F77" s="3">
        <v>83.5</v>
      </c>
      <c r="G77" s="160">
        <v>4.3</v>
      </c>
      <c r="H77" s="7">
        <v>3.8</v>
      </c>
      <c r="I77" s="9">
        <v>6.1</v>
      </c>
      <c r="J77" s="11">
        <v>4.7</v>
      </c>
      <c r="K77" s="105">
        <v>1.4</v>
      </c>
      <c r="L77" s="7">
        <v>121.6</v>
      </c>
      <c r="M77" s="207">
        <f t="shared" si="6"/>
        <v>38.200000000000003</v>
      </c>
      <c r="N77" s="3">
        <v>101.1</v>
      </c>
      <c r="O77" s="207">
        <f t="shared" si="7"/>
        <v>56.4</v>
      </c>
      <c r="P77" s="110">
        <v>23.8</v>
      </c>
      <c r="Q77" s="3">
        <v>53</v>
      </c>
      <c r="R77" s="84">
        <v>57</v>
      </c>
      <c r="S77" s="85">
        <v>2.2999999999999998</v>
      </c>
      <c r="T77" s="86">
        <v>9.1999999999999993</v>
      </c>
      <c r="U77" s="8">
        <v>30.6</v>
      </c>
      <c r="V77" s="61">
        <v>15.1</v>
      </c>
      <c r="W77" s="3">
        <v>0.8</v>
      </c>
      <c r="X77" s="3">
        <v>2.2000000000000002</v>
      </c>
      <c r="Y77" s="14">
        <v>33.799999999999997</v>
      </c>
      <c r="Z77" s="31">
        <v>1.9</v>
      </c>
      <c r="AA77" s="205">
        <v>77.8</v>
      </c>
      <c r="AB77" s="205">
        <v>53.300000000000004</v>
      </c>
      <c r="AC77" s="14">
        <v>7.4</v>
      </c>
      <c r="AD77" s="205">
        <v>35.099999999999994</v>
      </c>
      <c r="AE77" s="205">
        <f t="shared" si="8"/>
        <v>30.22</v>
      </c>
      <c r="AF77" s="205">
        <f t="shared" si="9"/>
        <v>14.216399999999997</v>
      </c>
      <c r="AG77" s="205">
        <f t="shared" si="10"/>
        <v>14.174999999999997</v>
      </c>
      <c r="AH77" s="205">
        <f t="shared" si="11"/>
        <v>20.605419999999999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 spans="1:95" ht="15" thickBot="1" x14ac:dyDescent="0.35">
      <c r="A78" s="3" t="s">
        <v>21</v>
      </c>
      <c r="B78" s="207" t="s">
        <v>162</v>
      </c>
      <c r="C78" s="207" t="s">
        <v>163</v>
      </c>
      <c r="D78" s="207" t="s">
        <v>129</v>
      </c>
      <c r="E78" s="207">
        <v>18</v>
      </c>
      <c r="F78" s="3">
        <v>77.7</v>
      </c>
      <c r="G78" s="160">
        <v>4.3</v>
      </c>
      <c r="H78" s="3">
        <v>2.4</v>
      </c>
      <c r="I78" s="42">
        <v>3.8</v>
      </c>
      <c r="J78" s="9">
        <v>4.3</v>
      </c>
      <c r="K78" s="3">
        <v>-0.5</v>
      </c>
      <c r="L78" s="60">
        <v>118.1</v>
      </c>
      <c r="M78" s="207">
        <f t="shared" si="6"/>
        <v>17.399999999999999</v>
      </c>
      <c r="N78" s="165">
        <v>114.3</v>
      </c>
      <c r="O78" s="207">
        <f t="shared" si="7"/>
        <v>12.099999999999994</v>
      </c>
      <c r="P78" s="7">
        <v>28.6</v>
      </c>
      <c r="Q78" s="3">
        <v>52.5</v>
      </c>
      <c r="R78" s="29">
        <v>57.2</v>
      </c>
      <c r="S78" s="28">
        <v>2.7</v>
      </c>
      <c r="T78" s="3">
        <v>14</v>
      </c>
      <c r="U78" s="5">
        <v>37.700000000000003</v>
      </c>
      <c r="V78" s="61">
        <v>15.1</v>
      </c>
      <c r="W78" s="3">
        <v>0.7</v>
      </c>
      <c r="X78" s="52">
        <v>1.2</v>
      </c>
      <c r="Y78" s="14">
        <v>34.200000000000003</v>
      </c>
      <c r="Z78" s="14">
        <v>3.1</v>
      </c>
      <c r="AA78" s="205">
        <v>81.8</v>
      </c>
      <c r="AB78" s="205">
        <v>54.2</v>
      </c>
      <c r="AC78" s="14">
        <v>7.2</v>
      </c>
      <c r="AD78" s="205">
        <v>32.5</v>
      </c>
      <c r="AE78" s="205">
        <f t="shared" si="8"/>
        <v>32.815000000000005</v>
      </c>
      <c r="AF78" s="205">
        <f t="shared" si="9"/>
        <v>19.3142</v>
      </c>
      <c r="AG78" s="205">
        <f t="shared" si="10"/>
        <v>5.2449999999999983</v>
      </c>
      <c r="AH78" s="205">
        <f t="shared" si="11"/>
        <v>20.493760000000002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 spans="1:95" ht="15" thickBot="1" x14ac:dyDescent="0.35">
      <c r="A79" s="3" t="s">
        <v>41</v>
      </c>
      <c r="B79" s="207" t="s">
        <v>164</v>
      </c>
      <c r="C79" s="207" t="s">
        <v>165</v>
      </c>
      <c r="D79" s="207" t="s">
        <v>166</v>
      </c>
      <c r="E79" s="207">
        <v>21</v>
      </c>
      <c r="F79" s="3">
        <v>88.1</v>
      </c>
      <c r="G79" s="160">
        <v>4.3</v>
      </c>
      <c r="H79" s="11">
        <v>3.7</v>
      </c>
      <c r="I79" s="9">
        <v>6</v>
      </c>
      <c r="J79" s="9">
        <v>4.3</v>
      </c>
      <c r="K79" s="110">
        <v>1.7</v>
      </c>
      <c r="L79" s="6">
        <v>126.5</v>
      </c>
      <c r="M79" s="207">
        <f t="shared" si="6"/>
        <v>63.7</v>
      </c>
      <c r="N79" s="3">
        <v>103.6</v>
      </c>
      <c r="O79" s="207">
        <f t="shared" si="7"/>
        <v>46.4</v>
      </c>
      <c r="P79" s="3">
        <v>21.3</v>
      </c>
      <c r="Q79" s="50">
        <v>58.3</v>
      </c>
      <c r="R79" s="11">
        <v>63.1</v>
      </c>
      <c r="S79" s="119">
        <v>1.2</v>
      </c>
      <c r="T79" s="3">
        <v>11.2</v>
      </c>
      <c r="U79" s="81">
        <v>19.600000000000001</v>
      </c>
      <c r="V79" s="82">
        <v>12.2</v>
      </c>
      <c r="W79" s="67">
        <v>0.2</v>
      </c>
      <c r="X79" s="3">
        <v>2</v>
      </c>
      <c r="Y79" s="14">
        <v>33.6</v>
      </c>
      <c r="Z79" s="142">
        <v>2.5</v>
      </c>
      <c r="AA79" s="205">
        <v>88.9</v>
      </c>
      <c r="AB79" s="205">
        <v>53.300000000000004</v>
      </c>
      <c r="AC79" s="124">
        <v>9.9</v>
      </c>
      <c r="AD79" s="205">
        <v>42.1</v>
      </c>
      <c r="AE79" s="205">
        <f t="shared" si="8"/>
        <v>29.324999999999999</v>
      </c>
      <c r="AF79" s="205">
        <f t="shared" si="9"/>
        <v>4.7034000000000011</v>
      </c>
      <c r="AG79" s="205">
        <f t="shared" si="10"/>
        <v>11.899999999999999</v>
      </c>
      <c r="AH79" s="205">
        <f t="shared" si="11"/>
        <v>16.711020000000001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 spans="1:95" ht="15" thickBot="1" x14ac:dyDescent="0.35">
      <c r="A80" s="3" t="s">
        <v>21</v>
      </c>
      <c r="B80" s="207" t="s">
        <v>167</v>
      </c>
      <c r="C80" s="207" t="s">
        <v>116</v>
      </c>
      <c r="D80" s="207" t="s">
        <v>20</v>
      </c>
      <c r="E80" s="207">
        <v>22</v>
      </c>
      <c r="F80" s="3">
        <v>77</v>
      </c>
      <c r="G80" s="160">
        <v>4.3</v>
      </c>
      <c r="H80" s="5">
        <v>4.9000000000000004</v>
      </c>
      <c r="I80" s="6">
        <v>9.4</v>
      </c>
      <c r="J80" s="27">
        <v>2.9</v>
      </c>
      <c r="K80" s="5">
        <v>6.5</v>
      </c>
      <c r="L80" s="5">
        <v>136.4</v>
      </c>
      <c r="M80" s="207">
        <f t="shared" si="6"/>
        <v>91.2</v>
      </c>
      <c r="N80" s="30">
        <v>88.5</v>
      </c>
      <c r="O80" s="207">
        <f t="shared" si="7"/>
        <v>95.4</v>
      </c>
      <c r="P80" s="89">
        <v>14.9</v>
      </c>
      <c r="Q80" s="7">
        <v>61.6</v>
      </c>
      <c r="R80" s="11">
        <v>63</v>
      </c>
      <c r="S80" s="3">
        <v>3.5</v>
      </c>
      <c r="T80" s="3">
        <v>15.1</v>
      </c>
      <c r="U80" s="16">
        <v>23.4</v>
      </c>
      <c r="V80" s="30">
        <v>9.3000000000000007</v>
      </c>
      <c r="W80" s="43">
        <v>0.4</v>
      </c>
      <c r="X80" s="6">
        <v>3.7</v>
      </c>
      <c r="Y80" s="138">
        <v>23.8</v>
      </c>
      <c r="Z80" s="14">
        <v>3.1</v>
      </c>
      <c r="AA80" s="205">
        <v>71.399999999999991</v>
      </c>
      <c r="AB80" s="205">
        <v>63.4</v>
      </c>
      <c r="AC80" s="14">
        <v>4.7</v>
      </c>
      <c r="AD80" s="205">
        <v>38.9</v>
      </c>
      <c r="AE80" s="205">
        <f t="shared" si="8"/>
        <v>26.969999999999995</v>
      </c>
      <c r="AF80" s="205">
        <f t="shared" si="9"/>
        <v>3.0728</v>
      </c>
      <c r="AG80" s="205">
        <f t="shared" si="10"/>
        <v>23.3</v>
      </c>
      <c r="AH80" s="205">
        <f t="shared" si="11"/>
        <v>18.699839999999998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 spans="1:95" ht="15" thickBot="1" x14ac:dyDescent="0.35">
      <c r="A81" s="3" t="s">
        <v>21</v>
      </c>
      <c r="B81" s="207" t="s">
        <v>168</v>
      </c>
      <c r="C81" s="207" t="s">
        <v>169</v>
      </c>
      <c r="D81" s="207" t="s">
        <v>78</v>
      </c>
      <c r="E81" s="207">
        <v>21</v>
      </c>
      <c r="F81" s="3">
        <v>85.3</v>
      </c>
      <c r="G81" s="160">
        <v>4.2</v>
      </c>
      <c r="H81" s="60">
        <v>3.5</v>
      </c>
      <c r="I81" s="71">
        <v>4.7</v>
      </c>
      <c r="J81" s="19">
        <v>4.0999999999999996</v>
      </c>
      <c r="K81" s="3">
        <v>0.6</v>
      </c>
      <c r="L81" s="18">
        <v>112.2</v>
      </c>
      <c r="M81" s="207">
        <f t="shared" si="6"/>
        <v>2.6</v>
      </c>
      <c r="N81" s="3">
        <v>106.1</v>
      </c>
      <c r="O81" s="207">
        <f t="shared" si="7"/>
        <v>34.899999999999991</v>
      </c>
      <c r="P81" s="6">
        <v>30.6</v>
      </c>
      <c r="Q81" s="3">
        <v>47.5</v>
      </c>
      <c r="R81" s="3">
        <v>53.8</v>
      </c>
      <c r="S81" s="67">
        <v>2.6</v>
      </c>
      <c r="T81" s="3">
        <v>9.8000000000000007</v>
      </c>
      <c r="U81" s="46">
        <v>21.5</v>
      </c>
      <c r="V81" s="59">
        <v>14.7</v>
      </c>
      <c r="W81" s="86">
        <v>0.3</v>
      </c>
      <c r="X81" s="3">
        <v>1.7</v>
      </c>
      <c r="Y81" s="14">
        <v>41.3</v>
      </c>
      <c r="Z81" s="92">
        <v>2.2000000000000002</v>
      </c>
      <c r="AA81" s="205">
        <v>81.3</v>
      </c>
      <c r="AB81" s="205">
        <v>49.6</v>
      </c>
      <c r="AC81" s="25">
        <v>8.5</v>
      </c>
      <c r="AD81" s="205">
        <v>28.4</v>
      </c>
      <c r="AE81" s="205">
        <f t="shared" si="8"/>
        <v>30.824999999999999</v>
      </c>
      <c r="AF81" s="205">
        <f t="shared" si="9"/>
        <v>7.3810000000000002</v>
      </c>
      <c r="AG81" s="205">
        <f t="shared" si="10"/>
        <v>9.2999999999999972</v>
      </c>
      <c r="AH81" s="205">
        <f t="shared" si="11"/>
        <v>17.334299999999999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 spans="1:95" ht="15" thickBot="1" x14ac:dyDescent="0.35">
      <c r="A82" s="3" t="s">
        <v>21</v>
      </c>
      <c r="B82" s="207" t="s">
        <v>170</v>
      </c>
      <c r="C82" s="207" t="s">
        <v>171</v>
      </c>
      <c r="D82" s="207" t="s">
        <v>96</v>
      </c>
      <c r="E82" s="207">
        <v>21</v>
      </c>
      <c r="F82" s="3">
        <v>87.1</v>
      </c>
      <c r="G82" s="160">
        <v>4.2</v>
      </c>
      <c r="H82" s="50">
        <v>3.5</v>
      </c>
      <c r="I82" s="11">
        <v>6.7</v>
      </c>
      <c r="J82" s="7">
        <v>4.9000000000000004</v>
      </c>
      <c r="K82" s="83">
        <v>1.8</v>
      </c>
      <c r="L82" s="8">
        <v>123.9</v>
      </c>
      <c r="M82" s="207">
        <f t="shared" si="6"/>
        <v>49.6</v>
      </c>
      <c r="N82" s="3">
        <v>105.5</v>
      </c>
      <c r="O82" s="207">
        <f t="shared" si="7"/>
        <v>37.6</v>
      </c>
      <c r="P82" s="3">
        <v>21.4</v>
      </c>
      <c r="Q82" s="55">
        <v>54.9</v>
      </c>
      <c r="R82" s="29">
        <v>57.2</v>
      </c>
      <c r="S82" s="111">
        <v>0.9</v>
      </c>
      <c r="T82" s="111">
        <v>6.4</v>
      </c>
      <c r="U82" s="131">
        <v>9</v>
      </c>
      <c r="V82" s="30">
        <v>9.4</v>
      </c>
      <c r="W82" s="123">
        <v>0.1</v>
      </c>
      <c r="X82" s="42">
        <v>2.8</v>
      </c>
      <c r="Y82" s="97">
        <v>15.1</v>
      </c>
      <c r="Z82" s="144">
        <v>1.7</v>
      </c>
      <c r="AA82" s="205">
        <v>85.399999999999991</v>
      </c>
      <c r="AB82" s="205">
        <v>44.7</v>
      </c>
      <c r="AC82" s="44">
        <v>14.1</v>
      </c>
      <c r="AD82" s="205">
        <v>42</v>
      </c>
      <c r="AE82" s="205">
        <f t="shared" si="8"/>
        <v>24.42</v>
      </c>
      <c r="AF82" s="205">
        <f t="shared" si="9"/>
        <v>0.71059999999999979</v>
      </c>
      <c r="AG82" s="205">
        <f t="shared" si="10"/>
        <v>11.544999999999998</v>
      </c>
      <c r="AH82" s="205">
        <f t="shared" si="11"/>
        <v>13.44468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 spans="1:95" ht="15" thickBot="1" x14ac:dyDescent="0.35">
      <c r="A83" s="3" t="s">
        <v>24</v>
      </c>
      <c r="B83" s="207" t="s">
        <v>172</v>
      </c>
      <c r="C83" s="207" t="s">
        <v>173</v>
      </c>
      <c r="D83" s="207" t="s">
        <v>174</v>
      </c>
      <c r="E83" s="207">
        <v>22</v>
      </c>
      <c r="F83" s="3">
        <v>74.7</v>
      </c>
      <c r="G83" s="160">
        <v>4.2</v>
      </c>
      <c r="H83" s="3">
        <v>2.5</v>
      </c>
      <c r="I83" s="60">
        <v>5.3</v>
      </c>
      <c r="J83" s="8">
        <v>5.9</v>
      </c>
      <c r="K83" s="3">
        <v>-0.6</v>
      </c>
      <c r="L83" s="5">
        <v>137.5</v>
      </c>
      <c r="M83" s="207">
        <f t="shared" si="6"/>
        <v>92.600000000000009</v>
      </c>
      <c r="N83" s="166">
        <v>110.4</v>
      </c>
      <c r="O83" s="207">
        <f t="shared" si="7"/>
        <v>22.200000000000003</v>
      </c>
      <c r="P83" s="3">
        <v>19.399999999999999</v>
      </c>
      <c r="Q83" s="5">
        <v>69.400000000000006</v>
      </c>
      <c r="R83" s="5">
        <v>71.5</v>
      </c>
      <c r="S83" s="11">
        <v>11.6</v>
      </c>
      <c r="T83" s="6">
        <v>23.1</v>
      </c>
      <c r="U83" s="67">
        <v>8.1999999999999993</v>
      </c>
      <c r="V83" s="137">
        <v>13.3</v>
      </c>
      <c r="W83" s="3">
        <v>1.2</v>
      </c>
      <c r="X83" s="67">
        <v>1.3</v>
      </c>
      <c r="Y83" s="14">
        <v>39.799999999999997</v>
      </c>
      <c r="Z83" s="14">
        <v>3</v>
      </c>
      <c r="AA83" s="205">
        <v>78.7</v>
      </c>
      <c r="AB83" s="205">
        <v>63.4</v>
      </c>
      <c r="AC83" s="14">
        <v>3.6</v>
      </c>
      <c r="AD83" s="205">
        <v>62.5</v>
      </c>
      <c r="AE83" s="205">
        <f t="shared" si="8"/>
        <v>29.745000000000001</v>
      </c>
      <c r="AF83" s="205">
        <f t="shared" si="9"/>
        <v>-0.48240000000000116</v>
      </c>
      <c r="AG83" s="205">
        <f t="shared" si="10"/>
        <v>7.8650000000000002</v>
      </c>
      <c r="AH83" s="205">
        <f t="shared" si="11"/>
        <v>14.112780000000003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 spans="1:95" ht="15" thickBot="1" x14ac:dyDescent="0.35">
      <c r="A84" s="3" t="s">
        <v>21</v>
      </c>
      <c r="B84" s="207" t="s">
        <v>175</v>
      </c>
      <c r="C84" s="207" t="s">
        <v>40</v>
      </c>
      <c r="D84" s="207" t="s">
        <v>20</v>
      </c>
      <c r="E84" s="207">
        <v>20</v>
      </c>
      <c r="F84" s="3">
        <v>61.1</v>
      </c>
      <c r="G84" s="160">
        <v>4.2</v>
      </c>
      <c r="H84" s="9">
        <v>3.6</v>
      </c>
      <c r="I84" s="7">
        <v>7.1</v>
      </c>
      <c r="J84" s="7">
        <v>5</v>
      </c>
      <c r="K84" s="18">
        <v>2.1</v>
      </c>
      <c r="L84" s="7">
        <v>121.7</v>
      </c>
      <c r="M84" s="207">
        <f t="shared" si="6"/>
        <v>38.9</v>
      </c>
      <c r="N84" s="53">
        <v>95.1</v>
      </c>
      <c r="O84" s="207">
        <f t="shared" si="7"/>
        <v>79.900000000000006</v>
      </c>
      <c r="P84" s="34">
        <v>25</v>
      </c>
      <c r="Q84" s="27">
        <v>57.1</v>
      </c>
      <c r="R84" s="55">
        <v>57.9</v>
      </c>
      <c r="S84" s="5">
        <v>15.2</v>
      </c>
      <c r="T84" s="8">
        <v>22.5</v>
      </c>
      <c r="U84" s="76">
        <v>18.3</v>
      </c>
      <c r="V84" s="126">
        <v>14.3</v>
      </c>
      <c r="W84" s="3">
        <v>0.9</v>
      </c>
      <c r="X84" s="37">
        <v>1.1000000000000001</v>
      </c>
      <c r="Y84" s="162">
        <v>26</v>
      </c>
      <c r="Z84" s="14">
        <v>3</v>
      </c>
      <c r="AA84" s="205">
        <v>60.8</v>
      </c>
      <c r="AB84" s="205">
        <v>58.3</v>
      </c>
      <c r="AC84" s="167">
        <v>1</v>
      </c>
      <c r="AD84" s="205">
        <v>22.2</v>
      </c>
      <c r="AE84" s="205">
        <f t="shared" si="8"/>
        <v>28.160000000000004</v>
      </c>
      <c r="AF84" s="205">
        <f t="shared" si="9"/>
        <v>5.2807999999999993</v>
      </c>
      <c r="AG84" s="205">
        <f t="shared" si="10"/>
        <v>17.190000000000001</v>
      </c>
      <c r="AH84" s="205">
        <f t="shared" si="11"/>
        <v>18.005240000000001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 spans="1:95" ht="15" thickBot="1" x14ac:dyDescent="0.35">
      <c r="A85" s="3" t="s">
        <v>41</v>
      </c>
      <c r="B85" s="207" t="s">
        <v>176</v>
      </c>
      <c r="C85" s="207" t="s">
        <v>177</v>
      </c>
      <c r="D85" s="207" t="s">
        <v>27</v>
      </c>
      <c r="E85" s="207">
        <v>22</v>
      </c>
      <c r="F85" s="3">
        <v>85.4</v>
      </c>
      <c r="G85" s="160">
        <v>4.2</v>
      </c>
      <c r="H85" s="50">
        <v>3.4</v>
      </c>
      <c r="I85" s="18">
        <v>3.2</v>
      </c>
      <c r="J85" s="71">
        <v>3.4</v>
      </c>
      <c r="K85" s="3">
        <v>-0.2</v>
      </c>
      <c r="L85" s="3">
        <v>107.7</v>
      </c>
      <c r="M85" s="207">
        <f t="shared" si="6"/>
        <v>0</v>
      </c>
      <c r="N85" s="3">
        <v>105.3</v>
      </c>
      <c r="O85" s="207">
        <f t="shared" si="7"/>
        <v>39.6</v>
      </c>
      <c r="P85" s="5">
        <v>32.9</v>
      </c>
      <c r="Q85" s="3">
        <v>52</v>
      </c>
      <c r="R85" s="3">
        <v>55.8</v>
      </c>
      <c r="S85" s="3">
        <v>4</v>
      </c>
      <c r="T85" s="3">
        <v>13.5</v>
      </c>
      <c r="U85" s="60">
        <v>25.6</v>
      </c>
      <c r="V85" s="3">
        <v>17.5</v>
      </c>
      <c r="W85" s="123">
        <v>0.1</v>
      </c>
      <c r="X85" s="3">
        <v>1.7</v>
      </c>
      <c r="Y85" s="14">
        <v>41.2</v>
      </c>
      <c r="Z85" s="14">
        <v>2.9</v>
      </c>
      <c r="AA85" s="205">
        <v>71.8</v>
      </c>
      <c r="AB85" s="205">
        <v>51.4</v>
      </c>
      <c r="AC85" s="14">
        <v>6</v>
      </c>
      <c r="AD85" s="205">
        <v>36.1</v>
      </c>
      <c r="AE85" s="205">
        <f t="shared" si="8"/>
        <v>32.619999999999997</v>
      </c>
      <c r="AF85" s="205">
        <f t="shared" si="9"/>
        <v>11.143800000000001</v>
      </c>
      <c r="AG85" s="205">
        <f t="shared" si="10"/>
        <v>9.120000000000001</v>
      </c>
      <c r="AH85" s="205">
        <f t="shared" si="11"/>
        <v>19.127140000000001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 spans="1:95" ht="15" thickBot="1" x14ac:dyDescent="0.35">
      <c r="A86" s="3" t="s">
        <v>21</v>
      </c>
      <c r="B86" s="207" t="s">
        <v>178</v>
      </c>
      <c r="C86" s="207" t="s">
        <v>118</v>
      </c>
      <c r="D86" s="207" t="s">
        <v>30</v>
      </c>
      <c r="E86" s="207">
        <v>22</v>
      </c>
      <c r="F86" s="3">
        <v>80.099999999999994</v>
      </c>
      <c r="G86" s="160">
        <v>4.2</v>
      </c>
      <c r="H86" s="34">
        <v>3.1</v>
      </c>
      <c r="I86" s="19">
        <v>5.7</v>
      </c>
      <c r="J86" s="7">
        <v>5.2</v>
      </c>
      <c r="K86" s="3">
        <v>0.5</v>
      </c>
      <c r="L86" s="19">
        <v>119.1</v>
      </c>
      <c r="M86" s="207">
        <f t="shared" si="6"/>
        <v>22.1</v>
      </c>
      <c r="N86" s="3">
        <v>105.9</v>
      </c>
      <c r="O86" s="207">
        <f t="shared" si="7"/>
        <v>36.299999999999997</v>
      </c>
      <c r="P86" s="20">
        <v>26</v>
      </c>
      <c r="Q86" s="35">
        <v>55.5</v>
      </c>
      <c r="R86" s="34">
        <v>59</v>
      </c>
      <c r="S86" s="3">
        <v>6.9</v>
      </c>
      <c r="T86" s="3">
        <v>13</v>
      </c>
      <c r="U86" s="81">
        <v>19.5</v>
      </c>
      <c r="V86" s="53">
        <v>13.6</v>
      </c>
      <c r="W86" s="3">
        <v>2</v>
      </c>
      <c r="X86" s="67">
        <v>1.3</v>
      </c>
      <c r="Y86" s="44">
        <v>70.5</v>
      </c>
      <c r="Z86" s="109">
        <v>1.6</v>
      </c>
      <c r="AA86" s="205">
        <v>65.7</v>
      </c>
      <c r="AB86" s="205">
        <v>58.099999999999994</v>
      </c>
      <c r="AC86" s="162">
        <v>2.7</v>
      </c>
      <c r="AD86" s="205">
        <v>26.5</v>
      </c>
      <c r="AE86" s="205">
        <f t="shared" si="8"/>
        <v>33.365000000000002</v>
      </c>
      <c r="AF86" s="205">
        <f t="shared" si="9"/>
        <v>5.8276999999999992</v>
      </c>
      <c r="AG86" s="205">
        <f t="shared" si="10"/>
        <v>11.139999999999999</v>
      </c>
      <c r="AH86" s="205">
        <f t="shared" si="11"/>
        <v>18.436310000000002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 spans="1:95" ht="15" thickBot="1" x14ac:dyDescent="0.35">
      <c r="A87" s="3" t="s">
        <v>41</v>
      </c>
      <c r="B87" s="207" t="s">
        <v>179</v>
      </c>
      <c r="C87" s="207" t="s">
        <v>180</v>
      </c>
      <c r="D87" s="207" t="s">
        <v>129</v>
      </c>
      <c r="E87" s="207">
        <v>21</v>
      </c>
      <c r="F87" s="3">
        <v>80.8</v>
      </c>
      <c r="G87" s="170">
        <v>4.2</v>
      </c>
      <c r="H87" s="3">
        <v>2.1</v>
      </c>
      <c r="I87" s="18">
        <v>3.3</v>
      </c>
      <c r="J87" s="9">
        <v>4.4000000000000004</v>
      </c>
      <c r="K87" s="3">
        <v>-1.2</v>
      </c>
      <c r="L87" s="6">
        <v>126.3</v>
      </c>
      <c r="M87" s="207">
        <f t="shared" si="6"/>
        <v>61.7</v>
      </c>
      <c r="N87" s="139">
        <v>115.8</v>
      </c>
      <c r="O87" s="207">
        <f t="shared" si="7"/>
        <v>6.1000000000000085</v>
      </c>
      <c r="P87" s="3">
        <v>22.7</v>
      </c>
      <c r="Q87" s="83">
        <v>54.8</v>
      </c>
      <c r="R87" s="11">
        <v>62.8</v>
      </c>
      <c r="S87" s="111">
        <v>0.8</v>
      </c>
      <c r="T87" s="64">
        <v>7.4</v>
      </c>
      <c r="U87" s="19">
        <v>26.1</v>
      </c>
      <c r="V87" s="70">
        <v>14</v>
      </c>
      <c r="W87" s="107">
        <v>0</v>
      </c>
      <c r="X87" s="3">
        <v>1.8</v>
      </c>
      <c r="Y87" s="32">
        <v>58.9</v>
      </c>
      <c r="Z87" s="104">
        <v>2.2999999999999998</v>
      </c>
      <c r="AA87" s="205">
        <v>86.8</v>
      </c>
      <c r="AB87" s="205">
        <v>49.6</v>
      </c>
      <c r="AC87" s="14">
        <v>7.5</v>
      </c>
      <c r="AD87" s="205">
        <v>41.3</v>
      </c>
      <c r="AE87" s="205">
        <f t="shared" si="8"/>
        <v>33.155000000000001</v>
      </c>
      <c r="AF87" s="205">
        <f t="shared" si="9"/>
        <v>9.8452000000000002</v>
      </c>
      <c r="AG87" s="205">
        <f t="shared" si="10"/>
        <v>3.930000000000001</v>
      </c>
      <c r="AH87" s="205">
        <f t="shared" si="11"/>
        <v>17.394559999999998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 spans="1:95" ht="15" thickBot="1" x14ac:dyDescent="0.35">
      <c r="A88" s="3" t="s">
        <v>21</v>
      </c>
      <c r="B88" s="207" t="s">
        <v>181</v>
      </c>
      <c r="C88" s="207" t="s">
        <v>182</v>
      </c>
      <c r="D88" s="207" t="s">
        <v>27</v>
      </c>
      <c r="E88" s="207">
        <v>22</v>
      </c>
      <c r="F88" s="3">
        <v>71.8</v>
      </c>
      <c r="G88" s="170">
        <v>4.0999999999999996</v>
      </c>
      <c r="H88" s="5">
        <v>4.4000000000000004</v>
      </c>
      <c r="I88" s="6">
        <v>9.6</v>
      </c>
      <c r="J88" s="9">
        <v>4.2</v>
      </c>
      <c r="K88" s="6">
        <v>5.4</v>
      </c>
      <c r="L88" s="6">
        <v>126.6</v>
      </c>
      <c r="M88" s="207">
        <f t="shared" si="6"/>
        <v>64.400000000000006</v>
      </c>
      <c r="N88" s="102">
        <v>89.7</v>
      </c>
      <c r="O88" s="207">
        <f t="shared" si="7"/>
        <v>94</v>
      </c>
      <c r="P88" s="3">
        <v>21.5</v>
      </c>
      <c r="Q88" s="110">
        <v>54.6</v>
      </c>
      <c r="R88" s="50">
        <v>61.2</v>
      </c>
      <c r="S88" s="85">
        <v>2.2999999999999998</v>
      </c>
      <c r="T88" s="3">
        <v>10.5</v>
      </c>
      <c r="U88" s="71">
        <v>24.5</v>
      </c>
      <c r="V88" s="108">
        <v>14.9</v>
      </c>
      <c r="W88" s="67">
        <v>0.2</v>
      </c>
      <c r="X88" s="7">
        <v>3.5</v>
      </c>
      <c r="Y88" s="48">
        <v>57.1</v>
      </c>
      <c r="Z88" s="14">
        <v>3</v>
      </c>
      <c r="AA88" s="205">
        <v>81.3</v>
      </c>
      <c r="AB88" s="205">
        <v>51.9</v>
      </c>
      <c r="AC88" s="171">
        <v>3.1</v>
      </c>
      <c r="AD88" s="205">
        <v>44.4</v>
      </c>
      <c r="AE88" s="205">
        <f t="shared" si="8"/>
        <v>31.955000000000002</v>
      </c>
      <c r="AF88" s="205">
        <f t="shared" si="9"/>
        <v>9.5488999999999997</v>
      </c>
      <c r="AG88" s="205">
        <f t="shared" si="10"/>
        <v>22.54</v>
      </c>
      <c r="AH88" s="205">
        <f t="shared" si="11"/>
        <v>22.408670000000001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 spans="1:95" ht="15" thickBot="1" x14ac:dyDescent="0.35">
      <c r="A89" s="3" t="s">
        <v>41</v>
      </c>
      <c r="B89" s="207" t="s">
        <v>183</v>
      </c>
      <c r="C89" s="207" t="s">
        <v>184</v>
      </c>
      <c r="D89" s="207" t="s">
        <v>20</v>
      </c>
      <c r="E89" s="207">
        <v>23</v>
      </c>
      <c r="F89" s="3">
        <v>64.5</v>
      </c>
      <c r="G89" s="170">
        <v>4.0999999999999996</v>
      </c>
      <c r="H89" s="3">
        <v>2.1</v>
      </c>
      <c r="I89" s="11">
        <v>6.8</v>
      </c>
      <c r="J89" s="6">
        <v>6</v>
      </c>
      <c r="K89" s="3">
        <v>0.8</v>
      </c>
      <c r="L89" s="19">
        <v>119.2</v>
      </c>
      <c r="M89" s="207">
        <f t="shared" si="6"/>
        <v>23.400000000000002</v>
      </c>
      <c r="N89" s="136">
        <v>110.7</v>
      </c>
      <c r="O89" s="207">
        <f t="shared" si="7"/>
        <v>20.899999999999991</v>
      </c>
      <c r="P89" s="7">
        <v>29.1</v>
      </c>
      <c r="Q89" s="3">
        <v>49.6</v>
      </c>
      <c r="R89" s="105">
        <v>56.6</v>
      </c>
      <c r="S89" s="89">
        <v>1.1000000000000001</v>
      </c>
      <c r="T89" s="28">
        <v>9</v>
      </c>
      <c r="U89" s="16">
        <v>23.2</v>
      </c>
      <c r="V89" s="125">
        <v>9</v>
      </c>
      <c r="W89" s="67">
        <v>0.2</v>
      </c>
      <c r="X89" s="3">
        <v>2.2000000000000002</v>
      </c>
      <c r="Y89" s="14">
        <v>39.4</v>
      </c>
      <c r="Z89" s="14">
        <v>3.5</v>
      </c>
      <c r="AA89" s="205">
        <v>89.2</v>
      </c>
      <c r="AB89" s="205">
        <v>49.2</v>
      </c>
      <c r="AC89" s="47">
        <v>9.5</v>
      </c>
      <c r="AD89" s="205">
        <v>33.700000000000003</v>
      </c>
      <c r="AE89" s="205">
        <f t="shared" si="8"/>
        <v>31.120000000000005</v>
      </c>
      <c r="AF89" s="205">
        <f t="shared" si="9"/>
        <v>2.3240999999999996</v>
      </c>
      <c r="AG89" s="205">
        <f t="shared" si="10"/>
        <v>8.3749999999999982</v>
      </c>
      <c r="AH89" s="205">
        <f t="shared" si="11"/>
        <v>15.657730000000001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 spans="1:95" ht="15" thickBot="1" x14ac:dyDescent="0.35">
      <c r="A90" s="3" t="s">
        <v>21</v>
      </c>
      <c r="B90" s="207" t="s">
        <v>185</v>
      </c>
      <c r="C90" s="207" t="s">
        <v>95</v>
      </c>
      <c r="D90" s="207" t="s">
        <v>96</v>
      </c>
      <c r="E90" s="207">
        <v>20</v>
      </c>
      <c r="F90" s="3">
        <v>65.8</v>
      </c>
      <c r="G90" s="170">
        <v>4.0999999999999996</v>
      </c>
      <c r="H90" s="3">
        <v>2.5</v>
      </c>
      <c r="I90" s="7">
        <v>6.9</v>
      </c>
      <c r="J90" s="6">
        <v>6.8</v>
      </c>
      <c r="K90" s="3">
        <v>0.1</v>
      </c>
      <c r="L90" s="6">
        <v>127.9</v>
      </c>
      <c r="M90" s="207">
        <f t="shared" si="6"/>
        <v>69.699999999999989</v>
      </c>
      <c r="N90" s="3">
        <v>107.2</v>
      </c>
      <c r="O90" s="207">
        <f t="shared" si="7"/>
        <v>32.899999999999991</v>
      </c>
      <c r="P90" s="27">
        <v>25.5</v>
      </c>
      <c r="Q90" s="8">
        <v>62.6</v>
      </c>
      <c r="R90" s="7">
        <v>63.8</v>
      </c>
      <c r="S90" s="3">
        <v>6.1</v>
      </c>
      <c r="T90" s="29">
        <v>15.8</v>
      </c>
      <c r="U90" s="3">
        <v>12.7</v>
      </c>
      <c r="V90" s="102">
        <v>9.9</v>
      </c>
      <c r="W90" s="3">
        <v>2.8</v>
      </c>
      <c r="X90" s="3">
        <v>1.6</v>
      </c>
      <c r="Y90" s="14">
        <v>42.2</v>
      </c>
      <c r="Z90" s="147">
        <v>3.9</v>
      </c>
      <c r="AA90" s="205">
        <v>66.3</v>
      </c>
      <c r="AB90" s="205">
        <v>61.5</v>
      </c>
      <c r="AC90" s="22">
        <v>10.5</v>
      </c>
      <c r="AD90" s="205">
        <v>42.699999999999996</v>
      </c>
      <c r="AE90" s="205">
        <f t="shared" si="8"/>
        <v>30.545000000000002</v>
      </c>
      <c r="AF90" s="205">
        <f t="shared" si="9"/>
        <v>1.6628999999999992</v>
      </c>
      <c r="AG90" s="205">
        <f t="shared" si="10"/>
        <v>12.069999999999999</v>
      </c>
      <c r="AH90" s="205">
        <f t="shared" si="11"/>
        <v>16.337870000000002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 spans="1:95" ht="15" thickBot="1" x14ac:dyDescent="0.35">
      <c r="A91" s="3" t="s">
        <v>24</v>
      </c>
      <c r="B91" s="207" t="s">
        <v>186</v>
      </c>
      <c r="C91" s="207" t="s">
        <v>187</v>
      </c>
      <c r="D91" s="207" t="s">
        <v>166</v>
      </c>
      <c r="E91" s="207">
        <v>23</v>
      </c>
      <c r="F91" s="3">
        <v>56.6</v>
      </c>
      <c r="G91" s="170">
        <v>4.0999999999999996</v>
      </c>
      <c r="H91" s="3">
        <v>2.2000000000000002</v>
      </c>
      <c r="I91" s="6">
        <v>8.5</v>
      </c>
      <c r="J91" s="5">
        <v>8.3000000000000007</v>
      </c>
      <c r="K91" s="3">
        <v>0.3</v>
      </c>
      <c r="L91" s="5">
        <v>135.6</v>
      </c>
      <c r="M91" s="207">
        <f t="shared" si="6"/>
        <v>89.2</v>
      </c>
      <c r="N91" s="3">
        <v>106.6</v>
      </c>
      <c r="O91" s="207">
        <f t="shared" si="7"/>
        <v>33.599999999999994</v>
      </c>
      <c r="P91" s="46">
        <v>24.7</v>
      </c>
      <c r="Q91" s="7">
        <v>61</v>
      </c>
      <c r="R91" s="6">
        <v>66.3</v>
      </c>
      <c r="S91" s="65">
        <v>1.8</v>
      </c>
      <c r="T91" s="3">
        <v>11.8</v>
      </c>
      <c r="U91" s="20">
        <v>24</v>
      </c>
      <c r="V91" s="99">
        <v>10.6</v>
      </c>
      <c r="W91" s="43">
        <v>0.4</v>
      </c>
      <c r="X91" s="3">
        <v>1.5</v>
      </c>
      <c r="Y91" s="14">
        <v>42.6</v>
      </c>
      <c r="Z91" s="14">
        <v>2.9</v>
      </c>
      <c r="AA91" s="205">
        <v>87.6</v>
      </c>
      <c r="AB91" s="205">
        <v>63.4</v>
      </c>
      <c r="AC91" s="33">
        <v>15</v>
      </c>
      <c r="AD91" s="205">
        <v>39.900000000000006</v>
      </c>
      <c r="AE91" s="205">
        <f t="shared" si="8"/>
        <v>32.664999999999999</v>
      </c>
      <c r="AF91" s="205">
        <f t="shared" si="9"/>
        <v>4.9175000000000004</v>
      </c>
      <c r="AG91" s="205">
        <f t="shared" si="10"/>
        <v>10.275</v>
      </c>
      <c r="AH91" s="205">
        <f t="shared" si="11"/>
        <v>17.623750000000001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 spans="1:95" ht="15" thickBot="1" x14ac:dyDescent="0.35">
      <c r="A92" s="3" t="s">
        <v>24</v>
      </c>
      <c r="B92" s="207" t="s">
        <v>188</v>
      </c>
      <c r="C92" s="207" t="s">
        <v>23</v>
      </c>
      <c r="D92" s="207" t="s">
        <v>20</v>
      </c>
      <c r="E92" s="207">
        <v>21</v>
      </c>
      <c r="F92" s="3">
        <v>75.599999999999994</v>
      </c>
      <c r="G92" s="170">
        <v>4.0999999999999996</v>
      </c>
      <c r="H92" s="35">
        <v>3</v>
      </c>
      <c r="I92" s="19">
        <v>5.6</v>
      </c>
      <c r="J92" s="8">
        <v>5.5</v>
      </c>
      <c r="K92" s="3">
        <v>0.1</v>
      </c>
      <c r="L92" s="7">
        <v>122</v>
      </c>
      <c r="M92" s="207">
        <f t="shared" si="6"/>
        <v>40.200000000000003</v>
      </c>
      <c r="N92" s="3">
        <v>105.4</v>
      </c>
      <c r="O92" s="207">
        <f t="shared" si="7"/>
        <v>38.299999999999997</v>
      </c>
      <c r="P92" s="105">
        <v>23</v>
      </c>
      <c r="Q92" s="63">
        <v>56.7</v>
      </c>
      <c r="R92" s="71">
        <v>60.9</v>
      </c>
      <c r="S92" s="36">
        <v>2</v>
      </c>
      <c r="T92" s="90">
        <v>7.2</v>
      </c>
      <c r="U92" s="3">
        <v>16.3</v>
      </c>
      <c r="V92" s="80">
        <v>13.9</v>
      </c>
      <c r="W92" s="67">
        <v>0.2</v>
      </c>
      <c r="X92" s="3">
        <v>1.6</v>
      </c>
      <c r="Y92" s="14">
        <v>28.9</v>
      </c>
      <c r="Z92" s="23">
        <v>2.4</v>
      </c>
      <c r="AA92" s="205">
        <v>87</v>
      </c>
      <c r="AB92" s="205">
        <v>49.4</v>
      </c>
      <c r="AC92" s="44">
        <v>14.3</v>
      </c>
      <c r="AD92" s="205">
        <v>40.400000000000006</v>
      </c>
      <c r="AE92" s="205">
        <f t="shared" si="8"/>
        <v>28.28</v>
      </c>
      <c r="AF92" s="205">
        <f t="shared" si="9"/>
        <v>3.8349999999999986</v>
      </c>
      <c r="AG92" s="205">
        <f t="shared" si="10"/>
        <v>9.8249999999999975</v>
      </c>
      <c r="AH92" s="205">
        <f t="shared" si="11"/>
        <v>15.41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 spans="1:95" ht="15" thickBot="1" x14ac:dyDescent="0.35">
      <c r="A93" s="3" t="s">
        <v>21</v>
      </c>
      <c r="B93" s="207" t="s">
        <v>189</v>
      </c>
      <c r="C93" s="207" t="s">
        <v>46</v>
      </c>
      <c r="D93" s="207" t="s">
        <v>17</v>
      </c>
      <c r="E93" s="207">
        <v>22</v>
      </c>
      <c r="F93" s="3">
        <v>84.8</v>
      </c>
      <c r="G93" s="170">
        <v>4.0999999999999996</v>
      </c>
      <c r="H93" s="6">
        <v>4.4000000000000004</v>
      </c>
      <c r="I93" s="8">
        <v>8.1</v>
      </c>
      <c r="J93" s="9">
        <v>4.4000000000000004</v>
      </c>
      <c r="K93" s="9">
        <v>3.7</v>
      </c>
      <c r="L93" s="11">
        <v>120.7</v>
      </c>
      <c r="M93" s="207">
        <f t="shared" si="6"/>
        <v>31.5</v>
      </c>
      <c r="N93" s="108">
        <v>97</v>
      </c>
      <c r="O93" s="207">
        <f t="shared" si="7"/>
        <v>73.900000000000006</v>
      </c>
      <c r="P93" s="3">
        <v>20.2</v>
      </c>
      <c r="Q93" s="46">
        <v>55.8</v>
      </c>
      <c r="R93" s="18">
        <v>58.6</v>
      </c>
      <c r="S93" s="3">
        <v>4.5999999999999996</v>
      </c>
      <c r="T93" s="3">
        <v>14.7</v>
      </c>
      <c r="U93" s="16">
        <v>23.2</v>
      </c>
      <c r="V93" s="3">
        <v>16.8</v>
      </c>
      <c r="W93" s="3">
        <v>0.6</v>
      </c>
      <c r="X93" s="5">
        <v>4.0999999999999996</v>
      </c>
      <c r="Y93" s="115">
        <v>28.1</v>
      </c>
      <c r="Z93" s="92">
        <v>2.2000000000000002</v>
      </c>
      <c r="AA93" s="205">
        <v>75.400000000000006</v>
      </c>
      <c r="AB93" s="205">
        <v>56.100000000000009</v>
      </c>
      <c r="AC93" s="14">
        <v>6.8</v>
      </c>
      <c r="AD93" s="205">
        <v>37</v>
      </c>
      <c r="AE93" s="205">
        <f t="shared" si="8"/>
        <v>27.82</v>
      </c>
      <c r="AF93" s="205">
        <f t="shared" si="9"/>
        <v>9.0194999999999972</v>
      </c>
      <c r="AG93" s="205">
        <f t="shared" si="10"/>
        <v>19.66</v>
      </c>
      <c r="AH93" s="205">
        <f t="shared" si="11"/>
        <v>19.731849999999998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 spans="1:95" ht="15" thickBot="1" x14ac:dyDescent="0.35">
      <c r="A94" s="3" t="s">
        <v>21</v>
      </c>
      <c r="B94" s="207" t="s">
        <v>190</v>
      </c>
      <c r="C94" s="207" t="s">
        <v>191</v>
      </c>
      <c r="D94" s="207" t="s">
        <v>110</v>
      </c>
      <c r="E94" s="207">
        <v>21</v>
      </c>
      <c r="F94" s="3">
        <v>87.3</v>
      </c>
      <c r="G94" s="170">
        <v>4.0999999999999996</v>
      </c>
      <c r="H94" s="3">
        <v>2.2000000000000002</v>
      </c>
      <c r="I94" s="42">
        <v>3.7</v>
      </c>
      <c r="J94" s="7">
        <v>4.9000000000000004</v>
      </c>
      <c r="K94" s="3">
        <v>-1.3</v>
      </c>
      <c r="L94" s="71">
        <v>116.4</v>
      </c>
      <c r="M94" s="207">
        <f t="shared" si="6"/>
        <v>11.4</v>
      </c>
      <c r="N94" s="139">
        <v>115.6</v>
      </c>
      <c r="O94" s="207">
        <f t="shared" si="7"/>
        <v>8.0999999999999943</v>
      </c>
      <c r="P94" s="71">
        <v>26.4</v>
      </c>
      <c r="Q94" s="3">
        <v>51.8</v>
      </c>
      <c r="R94" s="41">
        <v>58.2</v>
      </c>
      <c r="S94" s="3">
        <v>3.6</v>
      </c>
      <c r="T94" s="3">
        <v>10.3</v>
      </c>
      <c r="U94" s="3">
        <v>12.4</v>
      </c>
      <c r="V94" s="53">
        <v>13.5</v>
      </c>
      <c r="W94" s="86">
        <v>0.3</v>
      </c>
      <c r="X94" s="76">
        <v>2.4</v>
      </c>
      <c r="Y94" s="14">
        <v>45.5</v>
      </c>
      <c r="Z94" s="14">
        <v>2.8</v>
      </c>
      <c r="AA94" s="205">
        <v>83.7</v>
      </c>
      <c r="AB94" s="205">
        <v>47.599999999999994</v>
      </c>
      <c r="AC94" s="77">
        <v>14</v>
      </c>
      <c r="AD94" s="205">
        <v>36.4</v>
      </c>
      <c r="AE94" s="205">
        <f t="shared" si="8"/>
        <v>29.7</v>
      </c>
      <c r="AF94" s="205">
        <f t="shared" si="9"/>
        <v>1.6500000000000001</v>
      </c>
      <c r="AG94" s="205">
        <f t="shared" si="10"/>
        <v>5.2499999999999991</v>
      </c>
      <c r="AH94" s="205">
        <f t="shared" si="11"/>
        <v>13.95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 spans="1:95" ht="15" thickBot="1" x14ac:dyDescent="0.35">
      <c r="A95" s="3" t="s">
        <v>21</v>
      </c>
      <c r="B95" s="207" t="s">
        <v>192</v>
      </c>
      <c r="C95" s="207" t="s">
        <v>193</v>
      </c>
      <c r="D95" s="207" t="s">
        <v>70</v>
      </c>
      <c r="E95" s="207">
        <v>18</v>
      </c>
      <c r="F95" s="3">
        <v>71.2</v>
      </c>
      <c r="G95" s="170">
        <v>4.0999999999999996</v>
      </c>
      <c r="H95" s="79">
        <v>1</v>
      </c>
      <c r="I95" s="34">
        <v>3.5</v>
      </c>
      <c r="J95" s="5">
        <v>7.5</v>
      </c>
      <c r="K95" s="169">
        <v>-4</v>
      </c>
      <c r="L95" s="6">
        <v>125.5</v>
      </c>
      <c r="M95" s="207">
        <f t="shared" si="6"/>
        <v>59.699999999999996</v>
      </c>
      <c r="N95" s="98">
        <v>123.7</v>
      </c>
      <c r="O95" s="207">
        <f t="shared" si="7"/>
        <v>2.1000000000000085</v>
      </c>
      <c r="P95" s="27">
        <v>25.6</v>
      </c>
      <c r="Q95" s="8">
        <v>63.2</v>
      </c>
      <c r="R95" s="6">
        <v>67.5</v>
      </c>
      <c r="S95" s="64">
        <v>1.6</v>
      </c>
      <c r="T95" s="3">
        <v>12.8</v>
      </c>
      <c r="U95" s="3">
        <v>11.1</v>
      </c>
      <c r="V95" s="113">
        <v>12</v>
      </c>
      <c r="W95" s="3">
        <v>1</v>
      </c>
      <c r="X95" s="95">
        <v>0.8</v>
      </c>
      <c r="Y95" s="14">
        <v>33.1</v>
      </c>
      <c r="Z95" s="13">
        <v>2.1</v>
      </c>
      <c r="AA95" s="205">
        <v>90</v>
      </c>
      <c r="AB95" s="205">
        <v>67.600000000000009</v>
      </c>
      <c r="AC95" s="44">
        <v>14.8</v>
      </c>
      <c r="AD95" s="205">
        <v>40</v>
      </c>
      <c r="AE95" s="205">
        <f t="shared" si="8"/>
        <v>30.35</v>
      </c>
      <c r="AF95" s="205">
        <f t="shared" si="9"/>
        <v>1.2447999999999997</v>
      </c>
      <c r="AG95" s="205">
        <f t="shared" si="10"/>
        <v>2.8400000000000012</v>
      </c>
      <c r="AH95" s="205">
        <f t="shared" si="11"/>
        <v>13.365440000000001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</row>
    <row r="96" spans="1:95" ht="15" thickBot="1" x14ac:dyDescent="0.35">
      <c r="A96" s="3" t="s">
        <v>24</v>
      </c>
      <c r="B96" s="207" t="s">
        <v>194</v>
      </c>
      <c r="C96" s="207" t="s">
        <v>69</v>
      </c>
      <c r="D96" s="207" t="s">
        <v>70</v>
      </c>
      <c r="E96" s="207">
        <v>18</v>
      </c>
      <c r="F96" s="3">
        <v>75.2</v>
      </c>
      <c r="G96" s="170">
        <v>4.0999999999999996</v>
      </c>
      <c r="H96" s="3">
        <v>2.5</v>
      </c>
      <c r="I96" s="63">
        <v>3.8</v>
      </c>
      <c r="J96" s="50">
        <v>3.6</v>
      </c>
      <c r="K96" s="3">
        <v>0.3</v>
      </c>
      <c r="L96" s="5">
        <v>133</v>
      </c>
      <c r="M96" s="207">
        <f t="shared" si="6"/>
        <v>85.2</v>
      </c>
      <c r="N96" s="166">
        <v>110.5</v>
      </c>
      <c r="O96" s="207">
        <f t="shared" si="7"/>
        <v>21.5</v>
      </c>
      <c r="P96" s="3">
        <v>19.3</v>
      </c>
      <c r="Q96" s="27">
        <v>57.1</v>
      </c>
      <c r="R96" s="7">
        <v>64.099999999999994</v>
      </c>
      <c r="S96" s="3">
        <v>6.1</v>
      </c>
      <c r="T96" s="3">
        <v>14.6</v>
      </c>
      <c r="U96" s="29">
        <v>19.3</v>
      </c>
      <c r="V96" s="137">
        <v>13.3</v>
      </c>
      <c r="W96" s="3">
        <v>0.7</v>
      </c>
      <c r="X96" s="37">
        <v>1.1000000000000001</v>
      </c>
      <c r="Y96" s="39">
        <v>54.9</v>
      </c>
      <c r="Z96" s="14">
        <v>3</v>
      </c>
      <c r="AA96" s="205">
        <v>86.3</v>
      </c>
      <c r="AB96" s="205">
        <v>60.4</v>
      </c>
      <c r="AC96" s="132">
        <v>3</v>
      </c>
      <c r="AD96" s="205">
        <v>29.599999999999998</v>
      </c>
      <c r="AE96" s="205">
        <f t="shared" si="8"/>
        <v>31.019999999999996</v>
      </c>
      <c r="AF96" s="205">
        <f t="shared" si="9"/>
        <v>5.4135999999999989</v>
      </c>
      <c r="AG96" s="205">
        <f t="shared" si="10"/>
        <v>6.7149999999999999</v>
      </c>
      <c r="AH96" s="205">
        <f t="shared" si="11"/>
        <v>16.046579999999999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</row>
    <row r="97" spans="1:95" ht="15" thickBot="1" x14ac:dyDescent="0.35">
      <c r="A97" s="3" t="s">
        <v>24</v>
      </c>
      <c r="B97" s="207" t="s">
        <v>195</v>
      </c>
      <c r="C97" s="207" t="s">
        <v>196</v>
      </c>
      <c r="D97" s="207" t="s">
        <v>75</v>
      </c>
      <c r="E97" s="207">
        <v>22</v>
      </c>
      <c r="F97" s="3">
        <v>70.400000000000006</v>
      </c>
      <c r="G97" s="170">
        <v>4.0999999999999996</v>
      </c>
      <c r="H97" s="34">
        <v>3.1</v>
      </c>
      <c r="I97" s="9">
        <v>6.1</v>
      </c>
      <c r="J97" s="7">
        <v>4.9000000000000004</v>
      </c>
      <c r="K97" s="76">
        <v>1.3</v>
      </c>
      <c r="L97" s="8">
        <v>123.2</v>
      </c>
      <c r="M97" s="207">
        <f t="shared" si="6"/>
        <v>44.2</v>
      </c>
      <c r="N97" s="3">
        <v>103.5</v>
      </c>
      <c r="O97" s="207">
        <f t="shared" si="7"/>
        <v>47</v>
      </c>
      <c r="P97" s="84">
        <v>23.3</v>
      </c>
      <c r="Q97" s="16">
        <v>57.5</v>
      </c>
      <c r="R97" s="50">
        <v>61.2</v>
      </c>
      <c r="S97" s="119">
        <v>1.2</v>
      </c>
      <c r="T97" s="3">
        <v>9.9</v>
      </c>
      <c r="U97" s="3">
        <v>14.9</v>
      </c>
      <c r="V97" s="53">
        <v>13.5</v>
      </c>
      <c r="W97" s="43">
        <v>0.4</v>
      </c>
      <c r="X97" s="3">
        <v>2.2999999999999998</v>
      </c>
      <c r="Y97" s="14">
        <v>31.7</v>
      </c>
      <c r="Z97" s="142">
        <v>2.5</v>
      </c>
      <c r="AA97" s="205">
        <v>81</v>
      </c>
      <c r="AB97" s="205">
        <v>54.800000000000004</v>
      </c>
      <c r="AC97" s="14">
        <v>7.7</v>
      </c>
      <c r="AD97" s="205">
        <v>42</v>
      </c>
      <c r="AE97" s="205">
        <f t="shared" si="8"/>
        <v>28.515000000000001</v>
      </c>
      <c r="AF97" s="205">
        <f t="shared" si="9"/>
        <v>3.0250000000000004</v>
      </c>
      <c r="AG97" s="205">
        <f t="shared" si="10"/>
        <v>12.445</v>
      </c>
      <c r="AH97" s="205">
        <f t="shared" si="11"/>
        <v>16.047000000000001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</row>
    <row r="98" spans="1:95" ht="15" thickBot="1" x14ac:dyDescent="0.35">
      <c r="A98" s="3" t="s">
        <v>21</v>
      </c>
      <c r="B98" s="207" t="s">
        <v>197</v>
      </c>
      <c r="C98" s="207" t="s">
        <v>198</v>
      </c>
      <c r="D98" s="207" t="s">
        <v>166</v>
      </c>
      <c r="E98" s="207">
        <v>20</v>
      </c>
      <c r="F98" s="3">
        <v>62.5</v>
      </c>
      <c r="G98" s="170">
        <v>4.0999999999999996</v>
      </c>
      <c r="H98" s="9">
        <v>3.7</v>
      </c>
      <c r="I98" s="5">
        <v>10.7</v>
      </c>
      <c r="J98" s="6">
        <v>7</v>
      </c>
      <c r="K98" s="9">
        <v>3.7</v>
      </c>
      <c r="L98" s="6">
        <v>127.3</v>
      </c>
      <c r="M98" s="207">
        <f t="shared" si="6"/>
        <v>67.100000000000009</v>
      </c>
      <c r="N98" s="143">
        <v>94</v>
      </c>
      <c r="O98" s="207">
        <f t="shared" si="7"/>
        <v>83.3</v>
      </c>
      <c r="P98" s="63">
        <v>25.3</v>
      </c>
      <c r="Q98" s="6">
        <v>64.099999999999994</v>
      </c>
      <c r="R98" s="6">
        <v>65.5</v>
      </c>
      <c r="S98" s="11">
        <v>11.7</v>
      </c>
      <c r="T98" s="5">
        <v>26.9</v>
      </c>
      <c r="U98" s="3">
        <v>12.6</v>
      </c>
      <c r="V98" s="10">
        <v>13</v>
      </c>
      <c r="W98" s="6">
        <v>7</v>
      </c>
      <c r="X98" s="6">
        <v>4</v>
      </c>
      <c r="Y98" s="33">
        <v>73.5</v>
      </c>
      <c r="Z98" s="14">
        <v>2.7</v>
      </c>
      <c r="AA98" s="205">
        <v>66.2</v>
      </c>
      <c r="AB98" s="205">
        <v>64.099999999999994</v>
      </c>
      <c r="AC98" s="97">
        <v>0</v>
      </c>
      <c r="AD98" s="205">
        <v>0</v>
      </c>
      <c r="AE98" s="205">
        <f t="shared" si="8"/>
        <v>34.024999999999999</v>
      </c>
      <c r="AF98" s="205">
        <f t="shared" si="9"/>
        <v>1.8092999999999997</v>
      </c>
      <c r="AG98" s="205">
        <f t="shared" si="10"/>
        <v>28.279999999999994</v>
      </c>
      <c r="AH98" s="205">
        <f t="shared" si="11"/>
        <v>22.636789999999998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</row>
    <row r="99" spans="1:95" ht="15" thickBot="1" x14ac:dyDescent="0.35">
      <c r="A99" s="3" t="s">
        <v>21</v>
      </c>
      <c r="B99" s="207" t="s">
        <v>199</v>
      </c>
      <c r="C99" s="207" t="s">
        <v>102</v>
      </c>
      <c r="D99" s="207" t="s">
        <v>27</v>
      </c>
      <c r="E99" s="207">
        <v>21</v>
      </c>
      <c r="F99" s="3">
        <v>77.599999999999994</v>
      </c>
      <c r="G99" s="170">
        <v>4</v>
      </c>
      <c r="H99" s="3">
        <v>2.2999999999999998</v>
      </c>
      <c r="I99" s="16">
        <v>4.3</v>
      </c>
      <c r="J99" s="8">
        <v>5.5</v>
      </c>
      <c r="K99" s="3">
        <v>-1.2</v>
      </c>
      <c r="L99" s="9">
        <v>119.7</v>
      </c>
      <c r="M99" s="207">
        <f t="shared" si="6"/>
        <v>25.5</v>
      </c>
      <c r="N99" s="172">
        <v>113</v>
      </c>
      <c r="O99" s="207">
        <f t="shared" si="7"/>
        <v>14.799999999999997</v>
      </c>
      <c r="P99" s="55">
        <v>24</v>
      </c>
      <c r="Q99" s="81">
        <v>54.4</v>
      </c>
      <c r="R99" s="55">
        <v>57.9</v>
      </c>
      <c r="S99" s="52">
        <v>2.1</v>
      </c>
      <c r="T99" s="86">
        <v>9.1</v>
      </c>
      <c r="U99" s="3">
        <v>11.6</v>
      </c>
      <c r="V99" s="94">
        <v>7.2</v>
      </c>
      <c r="W99" s="107">
        <v>0</v>
      </c>
      <c r="X99" s="3">
        <v>1.5</v>
      </c>
      <c r="Y99" s="14">
        <v>29.5</v>
      </c>
      <c r="Z99" s="173">
        <v>1.4</v>
      </c>
      <c r="AA99" s="205">
        <v>78.600000000000009</v>
      </c>
      <c r="AB99" s="205">
        <v>49.4</v>
      </c>
      <c r="AC99" s="32">
        <v>11.1</v>
      </c>
      <c r="AD99" s="205">
        <v>40.300000000000004</v>
      </c>
      <c r="AE99" s="205">
        <f t="shared" si="8"/>
        <v>27.164999999999996</v>
      </c>
      <c r="AF99" s="205">
        <f t="shared" si="9"/>
        <v>0.44519999999999993</v>
      </c>
      <c r="AG99" s="205">
        <f t="shared" si="10"/>
        <v>5.2850000000000001</v>
      </c>
      <c r="AH99" s="205">
        <f t="shared" si="11"/>
        <v>12.585059999999999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</row>
    <row r="100" spans="1:95" ht="15" thickBot="1" x14ac:dyDescent="0.35">
      <c r="A100" s="3" t="s">
        <v>14</v>
      </c>
      <c r="B100" s="207" t="s">
        <v>200</v>
      </c>
      <c r="C100" s="207" t="s">
        <v>182</v>
      </c>
      <c r="D100" s="207" t="s">
        <v>27</v>
      </c>
      <c r="E100" s="207">
        <v>22</v>
      </c>
      <c r="F100" s="3">
        <v>71.7</v>
      </c>
      <c r="G100" s="170">
        <v>4</v>
      </c>
      <c r="H100" s="5">
        <v>4.5</v>
      </c>
      <c r="I100" s="6">
        <v>9.4</v>
      </c>
      <c r="J100" s="11">
        <v>4.5999999999999996</v>
      </c>
      <c r="K100" s="8">
        <v>4.8</v>
      </c>
      <c r="L100" s="6">
        <v>126.3</v>
      </c>
      <c r="M100" s="207">
        <f t="shared" si="6"/>
        <v>61.7</v>
      </c>
      <c r="N100" s="30">
        <v>88.7</v>
      </c>
      <c r="O100" s="207">
        <f t="shared" si="7"/>
        <v>94.7</v>
      </c>
      <c r="P100" s="3">
        <v>21</v>
      </c>
      <c r="Q100" s="20">
        <v>57.8</v>
      </c>
      <c r="R100" s="60">
        <v>61.4</v>
      </c>
      <c r="S100" s="65">
        <v>1.9</v>
      </c>
      <c r="T100" s="3">
        <v>14.1</v>
      </c>
      <c r="U100" s="3">
        <v>16.399999999999999</v>
      </c>
      <c r="V100" s="143">
        <v>12.8</v>
      </c>
      <c r="W100" s="3">
        <v>1</v>
      </c>
      <c r="X100" s="71">
        <v>3</v>
      </c>
      <c r="Y100" s="14">
        <v>33.299999999999997</v>
      </c>
      <c r="Z100" s="14">
        <v>3.1</v>
      </c>
      <c r="AA100" s="205">
        <v>79.7</v>
      </c>
      <c r="AB100" s="205">
        <v>59.3</v>
      </c>
      <c r="AC100" s="112">
        <v>8.4</v>
      </c>
      <c r="AD100" s="205">
        <v>37.1</v>
      </c>
      <c r="AE100" s="205">
        <f t="shared" si="8"/>
        <v>28.240000000000002</v>
      </c>
      <c r="AF100" s="205">
        <f t="shared" si="9"/>
        <v>3.617599999999999</v>
      </c>
      <c r="AG100" s="205">
        <f t="shared" si="10"/>
        <v>22.754999999999995</v>
      </c>
      <c r="AH100" s="205">
        <f t="shared" si="11"/>
        <v>19.20778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</row>
    <row r="101" spans="1:95" ht="15" thickBot="1" x14ac:dyDescent="0.35">
      <c r="A101" s="3" t="s">
        <v>21</v>
      </c>
      <c r="B101" s="207" t="s">
        <v>201</v>
      </c>
      <c r="C101" s="207" t="s">
        <v>202</v>
      </c>
      <c r="D101" s="207" t="s">
        <v>174</v>
      </c>
      <c r="E101" s="207">
        <v>23</v>
      </c>
      <c r="F101" s="3">
        <v>89.9</v>
      </c>
      <c r="G101" s="170">
        <v>4</v>
      </c>
      <c r="H101" s="3">
        <v>2.4</v>
      </c>
      <c r="I101" s="29">
        <v>2.2000000000000002</v>
      </c>
      <c r="J101" s="50">
        <v>3.6</v>
      </c>
      <c r="K101" s="54">
        <v>-1.4</v>
      </c>
      <c r="L101" s="19">
        <v>118.5</v>
      </c>
      <c r="M101" s="207">
        <f t="shared" si="6"/>
        <v>20.100000000000001</v>
      </c>
      <c r="N101" s="151">
        <v>115.1</v>
      </c>
      <c r="O101" s="207">
        <f t="shared" si="7"/>
        <v>9.3999999999999915</v>
      </c>
      <c r="P101" s="58">
        <v>23.1</v>
      </c>
      <c r="Q101" s="3">
        <v>50.4</v>
      </c>
      <c r="R101" s="42">
        <v>59.4</v>
      </c>
      <c r="S101" s="51">
        <v>0.7</v>
      </c>
      <c r="T101" s="90">
        <v>7.2</v>
      </c>
      <c r="U101" s="8">
        <v>29.4</v>
      </c>
      <c r="V101" s="75">
        <v>16.2</v>
      </c>
      <c r="W101" s="123">
        <v>0.1</v>
      </c>
      <c r="X101" s="3">
        <v>2.2000000000000002</v>
      </c>
      <c r="Y101" s="15">
        <v>83.5</v>
      </c>
      <c r="Z101" s="144">
        <v>1.7</v>
      </c>
      <c r="AA101" s="205">
        <v>77.7</v>
      </c>
      <c r="AB101" s="205">
        <v>44.800000000000004</v>
      </c>
      <c r="AC101" s="130">
        <v>9</v>
      </c>
      <c r="AD101" s="205">
        <v>36.299999999999997</v>
      </c>
      <c r="AE101" s="205">
        <f t="shared" si="8"/>
        <v>35.340000000000003</v>
      </c>
      <c r="AF101" s="205">
        <f t="shared" si="9"/>
        <v>13.6052</v>
      </c>
      <c r="AG101" s="205">
        <f t="shared" si="10"/>
        <v>4.4999999999999982</v>
      </c>
      <c r="AH101" s="205">
        <f t="shared" si="11"/>
        <v>19.56756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</row>
    <row r="102" spans="1:95" ht="15" thickBot="1" x14ac:dyDescent="0.35">
      <c r="A102" s="3" t="s">
        <v>41</v>
      </c>
      <c r="B102" s="207" t="s">
        <v>203</v>
      </c>
      <c r="C102" s="207" t="s">
        <v>204</v>
      </c>
      <c r="D102" s="207" t="s">
        <v>152</v>
      </c>
      <c r="E102" s="207">
        <v>22</v>
      </c>
      <c r="F102" s="3">
        <v>79.8</v>
      </c>
      <c r="G102" s="170">
        <v>4</v>
      </c>
      <c r="H102" s="29">
        <v>2.8</v>
      </c>
      <c r="I102" s="46">
        <v>3.4</v>
      </c>
      <c r="J102" s="60">
        <v>3.9</v>
      </c>
      <c r="K102" s="3">
        <v>-0.6</v>
      </c>
      <c r="L102" s="11">
        <v>120.9</v>
      </c>
      <c r="M102" s="207">
        <f t="shared" si="6"/>
        <v>34.200000000000003</v>
      </c>
      <c r="N102" s="86">
        <v>108.5</v>
      </c>
      <c r="O102" s="207">
        <f t="shared" si="7"/>
        <v>27.600000000000009</v>
      </c>
      <c r="P102" s="3">
        <v>21.8</v>
      </c>
      <c r="Q102" s="84">
        <v>53.9</v>
      </c>
      <c r="R102" s="63">
        <v>59.5</v>
      </c>
      <c r="S102" s="65">
        <v>1.8</v>
      </c>
      <c r="T102" s="175">
        <v>5.0999999999999996</v>
      </c>
      <c r="U102" s="3">
        <v>12.6</v>
      </c>
      <c r="V102" s="66">
        <v>12.4</v>
      </c>
      <c r="W102" s="86">
        <v>0.3</v>
      </c>
      <c r="X102" s="43">
        <v>1.4</v>
      </c>
      <c r="Y102" s="14">
        <v>38.4</v>
      </c>
      <c r="Z102" s="109">
        <v>1.6</v>
      </c>
      <c r="AA102" s="205">
        <v>85.399999999999991</v>
      </c>
      <c r="AB102" s="205">
        <v>54.2</v>
      </c>
      <c r="AC102" s="40">
        <v>11.7</v>
      </c>
      <c r="AD102" s="205">
        <v>35.799999999999997</v>
      </c>
      <c r="AE102" s="205">
        <f t="shared" si="8"/>
        <v>27.945</v>
      </c>
      <c r="AF102" s="205">
        <f t="shared" si="9"/>
        <v>1.8312000000000004</v>
      </c>
      <c r="AG102" s="205">
        <f t="shared" si="10"/>
        <v>7.2100000000000009</v>
      </c>
      <c r="AH102" s="205">
        <f t="shared" si="11"/>
        <v>13.890360000000001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</row>
    <row r="103" spans="1:95" ht="15" thickBot="1" x14ac:dyDescent="0.35">
      <c r="A103" s="3" t="s">
        <v>24</v>
      </c>
      <c r="B103" s="207" t="s">
        <v>205</v>
      </c>
      <c r="C103" s="207" t="s">
        <v>126</v>
      </c>
      <c r="D103" s="207" t="s">
        <v>17</v>
      </c>
      <c r="E103" s="207">
        <v>23</v>
      </c>
      <c r="F103" s="3">
        <v>68.599999999999994</v>
      </c>
      <c r="G103" s="170">
        <v>4</v>
      </c>
      <c r="H103" s="42">
        <v>3.2</v>
      </c>
      <c r="I103" s="7">
        <v>7.3</v>
      </c>
      <c r="J103" s="6">
        <v>6.5</v>
      </c>
      <c r="K103" s="3">
        <v>0.8</v>
      </c>
      <c r="L103" s="5">
        <v>132.6</v>
      </c>
      <c r="M103" s="207">
        <f t="shared" si="6"/>
        <v>84.5</v>
      </c>
      <c r="N103" s="3">
        <v>100.9</v>
      </c>
      <c r="O103" s="207">
        <f t="shared" si="7"/>
        <v>57.1</v>
      </c>
      <c r="P103" s="3">
        <v>18.3</v>
      </c>
      <c r="Q103" s="19">
        <v>59.6</v>
      </c>
      <c r="R103" s="11">
        <v>62.9</v>
      </c>
      <c r="S103" s="131">
        <v>3.1</v>
      </c>
      <c r="T103" s="3">
        <v>12.4</v>
      </c>
      <c r="U103" s="37">
        <v>6</v>
      </c>
      <c r="V103" s="5">
        <v>2.9</v>
      </c>
      <c r="W103" s="3">
        <v>1.4</v>
      </c>
      <c r="X103" s="3">
        <v>1.6</v>
      </c>
      <c r="Y103" s="14">
        <v>32.4</v>
      </c>
      <c r="Z103" s="13">
        <v>2.1</v>
      </c>
      <c r="AA103" s="205">
        <v>80.300000000000011</v>
      </c>
      <c r="AB103" s="205">
        <v>42.9</v>
      </c>
      <c r="AC103" s="33">
        <v>15.2</v>
      </c>
      <c r="AD103" s="205">
        <v>42.9</v>
      </c>
      <c r="AE103" s="205">
        <f t="shared" si="8"/>
        <v>26.155000000000001</v>
      </c>
      <c r="AF103" s="205">
        <f t="shared" si="9"/>
        <v>0</v>
      </c>
      <c r="AG103" s="205">
        <f t="shared" si="10"/>
        <v>14.579999999999998</v>
      </c>
      <c r="AH103" s="205">
        <f t="shared" si="11"/>
        <v>14.836000000000002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</row>
    <row r="104" spans="1:95" ht="15" thickBot="1" x14ac:dyDescent="0.35">
      <c r="A104" s="3" t="s">
        <v>41</v>
      </c>
      <c r="B104" s="207" t="s">
        <v>206</v>
      </c>
      <c r="C104" s="207" t="s">
        <v>193</v>
      </c>
      <c r="D104" s="207" t="s">
        <v>70</v>
      </c>
      <c r="E104" s="207">
        <v>14</v>
      </c>
      <c r="F104" s="3">
        <v>51.1</v>
      </c>
      <c r="G104" s="170">
        <v>4</v>
      </c>
      <c r="H104" s="51">
        <v>1.2</v>
      </c>
      <c r="I104" s="42">
        <v>3.7</v>
      </c>
      <c r="J104" s="6">
        <v>7.1</v>
      </c>
      <c r="K104" s="79">
        <v>-3.5</v>
      </c>
      <c r="L104" s="5">
        <v>130.1</v>
      </c>
      <c r="M104" s="207">
        <f t="shared" si="6"/>
        <v>79.100000000000009</v>
      </c>
      <c r="N104" s="156">
        <v>120.8</v>
      </c>
      <c r="O104" s="207">
        <f t="shared" si="7"/>
        <v>3.4000000000000057</v>
      </c>
      <c r="P104" s="55">
        <v>24</v>
      </c>
      <c r="Q104" s="6">
        <v>64.400000000000006</v>
      </c>
      <c r="R104" s="6">
        <v>66.8</v>
      </c>
      <c r="S104" s="84">
        <v>7.8</v>
      </c>
      <c r="T104" s="105">
        <v>15.3</v>
      </c>
      <c r="U104" s="3">
        <v>12.5</v>
      </c>
      <c r="V104" s="102">
        <v>9.8000000000000007</v>
      </c>
      <c r="W104" s="3">
        <v>1.1000000000000001</v>
      </c>
      <c r="X104" s="3">
        <v>1.5</v>
      </c>
      <c r="Y104" s="14">
        <v>31.9</v>
      </c>
      <c r="Z104" s="177">
        <v>4</v>
      </c>
      <c r="AA104" s="205">
        <v>78.400000000000006</v>
      </c>
      <c r="AB104" s="205">
        <v>65.8</v>
      </c>
      <c r="AC104" s="57">
        <v>11.9</v>
      </c>
      <c r="AD104" s="205">
        <v>42</v>
      </c>
      <c r="AE104" s="205">
        <f t="shared" si="8"/>
        <v>29.765000000000001</v>
      </c>
      <c r="AF104" s="205">
        <f t="shared" si="9"/>
        <v>1.5677999999999999</v>
      </c>
      <c r="AG104" s="205">
        <f t="shared" si="10"/>
        <v>4.0050000000000008</v>
      </c>
      <c r="AH104" s="205">
        <f t="shared" si="11"/>
        <v>13.577840000000002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</row>
    <row r="105" spans="1:95" ht="15" thickBot="1" x14ac:dyDescent="0.35">
      <c r="A105" s="3" t="s">
        <v>14</v>
      </c>
      <c r="B105" s="207" t="s">
        <v>207</v>
      </c>
      <c r="C105" s="207" t="s">
        <v>208</v>
      </c>
      <c r="D105" s="207" t="s">
        <v>110</v>
      </c>
      <c r="E105" s="207">
        <v>19</v>
      </c>
      <c r="F105" s="3">
        <v>83.2</v>
      </c>
      <c r="G105" s="178">
        <v>4</v>
      </c>
      <c r="H105" s="3">
        <v>2</v>
      </c>
      <c r="I105" s="84">
        <v>2</v>
      </c>
      <c r="J105" s="50">
        <v>3.5</v>
      </c>
      <c r="K105" s="43">
        <v>-1.6</v>
      </c>
      <c r="L105" s="8">
        <v>124.2</v>
      </c>
      <c r="M105" s="207">
        <f t="shared" si="6"/>
        <v>52.300000000000004</v>
      </c>
      <c r="N105" s="179">
        <v>116.5</v>
      </c>
      <c r="O105" s="207">
        <f t="shared" si="7"/>
        <v>4.7000000000000028</v>
      </c>
      <c r="P105" s="110">
        <v>23.8</v>
      </c>
      <c r="Q105" s="18">
        <v>55.7</v>
      </c>
      <c r="R105" s="8">
        <v>64.5</v>
      </c>
      <c r="S105" s="3">
        <v>3.7</v>
      </c>
      <c r="T105" s="3">
        <v>13.4</v>
      </c>
      <c r="U105" s="3">
        <v>11.6</v>
      </c>
      <c r="V105" s="70">
        <v>14.1</v>
      </c>
      <c r="W105" s="86">
        <v>0.3</v>
      </c>
      <c r="X105" s="95">
        <v>0.8</v>
      </c>
      <c r="Y105" s="45">
        <v>63.7</v>
      </c>
      <c r="Z105" s="14">
        <v>3.2</v>
      </c>
      <c r="AA105" s="205">
        <v>88.9</v>
      </c>
      <c r="AB105" s="205">
        <v>55.000000000000007</v>
      </c>
      <c r="AC105" s="14">
        <v>5.7</v>
      </c>
      <c r="AD105" s="205">
        <v>38.1</v>
      </c>
      <c r="AE105" s="205">
        <f t="shared" si="8"/>
        <v>32.174999999999997</v>
      </c>
      <c r="AF105" s="205">
        <f t="shared" si="9"/>
        <v>0.91500000000000004</v>
      </c>
      <c r="AG105" s="205">
        <f t="shared" si="10"/>
        <v>2.4850000000000003</v>
      </c>
      <c r="AH105" s="205">
        <f t="shared" si="11"/>
        <v>13.889999999999999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</row>
    <row r="106" spans="1:95" ht="15" thickBot="1" x14ac:dyDescent="0.35">
      <c r="A106" s="3" t="s">
        <v>14</v>
      </c>
      <c r="B106" s="207" t="s">
        <v>209</v>
      </c>
      <c r="C106" s="207" t="s">
        <v>210</v>
      </c>
      <c r="D106" s="207" t="s">
        <v>211</v>
      </c>
      <c r="E106" s="207">
        <v>21</v>
      </c>
      <c r="F106" s="3">
        <v>59.4</v>
      </c>
      <c r="G106" s="178">
        <v>4</v>
      </c>
      <c r="H106" s="3">
        <v>2.6</v>
      </c>
      <c r="I106" s="7">
        <v>7</v>
      </c>
      <c r="J106" s="5">
        <v>7.3</v>
      </c>
      <c r="K106" s="3">
        <v>-0.3</v>
      </c>
      <c r="L106" s="8">
        <v>124.1</v>
      </c>
      <c r="M106" s="207">
        <f t="shared" si="6"/>
        <v>51.6</v>
      </c>
      <c r="N106" s="3">
        <v>102.9</v>
      </c>
      <c r="O106" s="207">
        <f t="shared" si="7"/>
        <v>50.4</v>
      </c>
      <c r="P106" s="8">
        <v>29.9</v>
      </c>
      <c r="Q106" s="3">
        <v>51.7</v>
      </c>
      <c r="R106" s="83">
        <v>57.8</v>
      </c>
      <c r="S106" s="55">
        <v>8.4</v>
      </c>
      <c r="T106" s="42">
        <v>17.5</v>
      </c>
      <c r="U106" s="3">
        <v>13.2</v>
      </c>
      <c r="V106" s="125">
        <v>8.1</v>
      </c>
      <c r="W106" s="107">
        <v>0</v>
      </c>
      <c r="X106" s="76">
        <v>2.4</v>
      </c>
      <c r="Y106" s="14">
        <v>45.4</v>
      </c>
      <c r="Z106" s="14">
        <v>2.7</v>
      </c>
      <c r="AA106" s="205">
        <v>81.699999999999989</v>
      </c>
      <c r="AB106" s="205">
        <v>55.7</v>
      </c>
      <c r="AC106" s="14">
        <v>6.6</v>
      </c>
      <c r="AD106" s="205">
        <v>25.5</v>
      </c>
      <c r="AE106" s="205">
        <f t="shared" si="8"/>
        <v>30.74</v>
      </c>
      <c r="AF106" s="205">
        <f t="shared" si="9"/>
        <v>0.79169999999999996</v>
      </c>
      <c r="AG106" s="205">
        <f t="shared" si="10"/>
        <v>12.65</v>
      </c>
      <c r="AH106" s="205">
        <f t="shared" si="11"/>
        <v>16.328510000000001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</row>
    <row r="107" spans="1:95" ht="15" thickBot="1" x14ac:dyDescent="0.35">
      <c r="A107" s="3" t="s">
        <v>21</v>
      </c>
      <c r="B107" s="207" t="s">
        <v>212</v>
      </c>
      <c r="C107" s="207" t="s">
        <v>213</v>
      </c>
      <c r="D107" s="207" t="s">
        <v>214</v>
      </c>
      <c r="E107" s="207">
        <v>21</v>
      </c>
      <c r="F107" s="3">
        <v>63.7</v>
      </c>
      <c r="G107" s="178">
        <v>4</v>
      </c>
      <c r="H107" s="3">
        <v>2.4</v>
      </c>
      <c r="I107" s="9">
        <v>6.1</v>
      </c>
      <c r="J107" s="6">
        <v>6.1</v>
      </c>
      <c r="K107" s="3">
        <v>0</v>
      </c>
      <c r="L107" s="7">
        <v>122.6</v>
      </c>
      <c r="M107" s="207">
        <f t="shared" si="6"/>
        <v>42.9</v>
      </c>
      <c r="N107" s="3">
        <v>106.5</v>
      </c>
      <c r="O107" s="207">
        <f t="shared" si="7"/>
        <v>34.299999999999997</v>
      </c>
      <c r="P107" s="6">
        <v>31.5</v>
      </c>
      <c r="Q107" s="71">
        <v>58</v>
      </c>
      <c r="R107" s="7">
        <v>63.7</v>
      </c>
      <c r="S107" s="6">
        <v>13.6</v>
      </c>
      <c r="T107" s="7">
        <v>21.6</v>
      </c>
      <c r="U107" s="3">
        <v>11</v>
      </c>
      <c r="V107" s="126">
        <v>14.3</v>
      </c>
      <c r="W107" s="46">
        <v>4</v>
      </c>
      <c r="X107" s="3">
        <v>1.6</v>
      </c>
      <c r="Y107" s="15">
        <v>84.5</v>
      </c>
      <c r="Z107" s="180">
        <v>4.9000000000000004</v>
      </c>
      <c r="AA107" s="205">
        <v>74.099999999999994</v>
      </c>
      <c r="AB107" s="205">
        <v>58.5</v>
      </c>
      <c r="AC107" s="135">
        <v>0.2</v>
      </c>
      <c r="AD107" s="205">
        <v>0</v>
      </c>
      <c r="AE107" s="205">
        <f t="shared" si="8"/>
        <v>36.274999999999999</v>
      </c>
      <c r="AF107" s="205">
        <f t="shared" si="9"/>
        <v>0.45079999999999953</v>
      </c>
      <c r="AG107" s="205">
        <f t="shared" si="10"/>
        <v>13.18</v>
      </c>
      <c r="AH107" s="205">
        <f t="shared" si="11"/>
        <v>18.599239999999998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</row>
    <row r="108" spans="1:95" ht="15" thickBot="1" x14ac:dyDescent="0.35">
      <c r="A108" s="3" t="s">
        <v>41</v>
      </c>
      <c r="B108" s="207" t="s">
        <v>215</v>
      </c>
      <c r="C108" s="207" t="s">
        <v>151</v>
      </c>
      <c r="D108" s="207" t="s">
        <v>152</v>
      </c>
      <c r="E108" s="207">
        <v>23</v>
      </c>
      <c r="F108" s="3">
        <v>68.099999999999994</v>
      </c>
      <c r="G108" s="178">
        <v>4</v>
      </c>
      <c r="H108" s="6">
        <v>4.4000000000000004</v>
      </c>
      <c r="I108" s="5">
        <v>10.3</v>
      </c>
      <c r="J108" s="9">
        <v>4.4000000000000004</v>
      </c>
      <c r="K108" s="6">
        <v>5.8</v>
      </c>
      <c r="L108" s="8">
        <v>124.9</v>
      </c>
      <c r="M108" s="207">
        <f t="shared" si="6"/>
        <v>56.3</v>
      </c>
      <c r="N108" s="125">
        <v>87.8</v>
      </c>
      <c r="O108" s="207">
        <f t="shared" si="7"/>
        <v>96</v>
      </c>
      <c r="P108" s="3">
        <v>22.6</v>
      </c>
      <c r="Q108" s="35">
        <v>55.4</v>
      </c>
      <c r="R108" s="71">
        <v>60.8</v>
      </c>
      <c r="S108" s="3">
        <v>3.5</v>
      </c>
      <c r="T108" s="3">
        <v>14.3</v>
      </c>
      <c r="U108" s="5">
        <v>38.1</v>
      </c>
      <c r="V108" s="3">
        <v>19.2</v>
      </c>
      <c r="W108" s="3">
        <v>1.1000000000000001</v>
      </c>
      <c r="X108" s="6">
        <v>3.8</v>
      </c>
      <c r="Y108" s="14">
        <v>47</v>
      </c>
      <c r="Z108" s="177">
        <v>4</v>
      </c>
      <c r="AA108" s="205">
        <v>81</v>
      </c>
      <c r="AB108" s="205">
        <v>48.699999999999996</v>
      </c>
      <c r="AC108" s="14">
        <v>4.8</v>
      </c>
      <c r="AD108" s="205">
        <v>47.099999999999994</v>
      </c>
      <c r="AE108" s="205">
        <f t="shared" si="8"/>
        <v>33.195</v>
      </c>
      <c r="AF108" s="205">
        <f t="shared" si="9"/>
        <v>21.961100000000002</v>
      </c>
      <c r="AG108" s="205">
        <f t="shared" si="10"/>
        <v>24.364999999999998</v>
      </c>
      <c r="AH108" s="205">
        <f t="shared" si="11"/>
        <v>27.175830000000001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</row>
    <row r="109" spans="1:95" ht="15" thickBot="1" x14ac:dyDescent="0.35">
      <c r="A109" s="3" t="s">
        <v>21</v>
      </c>
      <c r="B109" s="207" t="s">
        <v>216</v>
      </c>
      <c r="C109" s="207" t="s">
        <v>217</v>
      </c>
      <c r="D109" s="207" t="s">
        <v>27</v>
      </c>
      <c r="E109" s="207">
        <v>21</v>
      </c>
      <c r="F109" s="3">
        <v>80.400000000000006</v>
      </c>
      <c r="G109" s="178">
        <v>4</v>
      </c>
      <c r="H109" s="34">
        <v>3.1</v>
      </c>
      <c r="I109" s="46">
        <v>3.4</v>
      </c>
      <c r="J109" s="71">
        <v>3.4</v>
      </c>
      <c r="K109" s="3">
        <v>0</v>
      </c>
      <c r="L109" s="71">
        <v>116.2</v>
      </c>
      <c r="M109" s="207">
        <f t="shared" si="6"/>
        <v>9.3000000000000007</v>
      </c>
      <c r="N109" s="3">
        <v>106</v>
      </c>
      <c r="O109" s="207">
        <f t="shared" si="7"/>
        <v>35.599999999999994</v>
      </c>
      <c r="P109" s="46">
        <v>24.8</v>
      </c>
      <c r="Q109" s="3">
        <v>52.7</v>
      </c>
      <c r="R109" s="58">
        <v>56.8</v>
      </c>
      <c r="S109" s="85">
        <v>2.2000000000000002</v>
      </c>
      <c r="T109" s="86">
        <v>9.1</v>
      </c>
      <c r="U109" s="5">
        <v>37.1</v>
      </c>
      <c r="V109" s="3">
        <v>20.8</v>
      </c>
      <c r="W109" s="107">
        <v>0</v>
      </c>
      <c r="X109" s="43">
        <v>1.4</v>
      </c>
      <c r="Y109" s="14">
        <v>35.1</v>
      </c>
      <c r="Z109" s="23">
        <v>2.4</v>
      </c>
      <c r="AA109" s="205">
        <v>77.2</v>
      </c>
      <c r="AB109" s="205">
        <v>50</v>
      </c>
      <c r="AC109" s="162">
        <v>2.7</v>
      </c>
      <c r="AD109" s="205">
        <v>45.5</v>
      </c>
      <c r="AE109" s="205">
        <f t="shared" si="8"/>
        <v>31.515000000000004</v>
      </c>
      <c r="AF109" s="205">
        <f t="shared" si="9"/>
        <v>20.157900000000001</v>
      </c>
      <c r="AG109" s="205">
        <f t="shared" si="10"/>
        <v>8.2299999999999986</v>
      </c>
      <c r="AH109" s="205">
        <f t="shared" si="11"/>
        <v>21.122370000000004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</row>
    <row r="110" spans="1:95" ht="15" thickBot="1" x14ac:dyDescent="0.35">
      <c r="A110" s="3" t="s">
        <v>41</v>
      </c>
      <c r="B110" s="207" t="s">
        <v>218</v>
      </c>
      <c r="C110" s="207" t="s">
        <v>219</v>
      </c>
      <c r="D110" s="207" t="s">
        <v>220</v>
      </c>
      <c r="E110" s="207">
        <v>20</v>
      </c>
      <c r="F110" s="3">
        <v>80</v>
      </c>
      <c r="G110" s="178">
        <v>4</v>
      </c>
      <c r="H110" s="81">
        <v>2.9</v>
      </c>
      <c r="I110" s="20">
        <v>4.5</v>
      </c>
      <c r="J110" s="50">
        <v>3.7</v>
      </c>
      <c r="K110" s="3">
        <v>0.9</v>
      </c>
      <c r="L110" s="60">
        <v>117.8</v>
      </c>
      <c r="M110" s="207">
        <f t="shared" si="6"/>
        <v>14.7</v>
      </c>
      <c r="N110" s="181">
        <v>109.5</v>
      </c>
      <c r="O110" s="207">
        <f t="shared" si="7"/>
        <v>25.599999999999994</v>
      </c>
      <c r="P110" s="9">
        <v>27.5</v>
      </c>
      <c r="Q110" s="18">
        <v>55.7</v>
      </c>
      <c r="R110" s="16">
        <v>60</v>
      </c>
      <c r="S110" s="85">
        <v>2.2999999999999998</v>
      </c>
      <c r="T110" s="105">
        <v>15.3</v>
      </c>
      <c r="U110" s="6">
        <v>31.8</v>
      </c>
      <c r="V110" s="49">
        <v>15.2</v>
      </c>
      <c r="W110" s="3">
        <v>0.8</v>
      </c>
      <c r="X110" s="71">
        <v>3</v>
      </c>
      <c r="Y110" s="14">
        <v>32.200000000000003</v>
      </c>
      <c r="Z110" s="104">
        <v>2.2999999999999998</v>
      </c>
      <c r="AA110" s="205">
        <v>83.3</v>
      </c>
      <c r="AB110" s="205">
        <v>55.300000000000004</v>
      </c>
      <c r="AC110" s="176">
        <v>2.9</v>
      </c>
      <c r="AD110" s="205">
        <v>39.4</v>
      </c>
      <c r="AE110" s="205">
        <f t="shared" si="8"/>
        <v>32.04</v>
      </c>
      <c r="AF110" s="205">
        <f t="shared" si="9"/>
        <v>15.202799999999998</v>
      </c>
      <c r="AG110" s="205">
        <f t="shared" si="10"/>
        <v>9.6949999999999985</v>
      </c>
      <c r="AH110" s="205">
        <f t="shared" si="11"/>
        <v>20.285340000000001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</row>
    <row r="111" spans="1:95" ht="15" thickBot="1" x14ac:dyDescent="0.35">
      <c r="A111" s="3" t="s">
        <v>41</v>
      </c>
      <c r="B111" s="207" t="s">
        <v>221</v>
      </c>
      <c r="C111" s="207" t="s">
        <v>173</v>
      </c>
      <c r="D111" s="207" t="s">
        <v>174</v>
      </c>
      <c r="E111" s="207">
        <v>22</v>
      </c>
      <c r="F111" s="3">
        <v>84.8</v>
      </c>
      <c r="G111" s="178">
        <v>4</v>
      </c>
      <c r="H111" s="3">
        <v>2.2000000000000002</v>
      </c>
      <c r="I111" s="42">
        <v>3.8</v>
      </c>
      <c r="J111" s="9">
        <v>4.5</v>
      </c>
      <c r="K111" s="3">
        <v>-0.7</v>
      </c>
      <c r="L111" s="6">
        <v>129.5</v>
      </c>
      <c r="M111" s="207">
        <f t="shared" si="6"/>
        <v>78.5</v>
      </c>
      <c r="N111" s="139">
        <v>115.7</v>
      </c>
      <c r="O111" s="207">
        <f t="shared" si="7"/>
        <v>7.3999999999999915</v>
      </c>
      <c r="P111" s="3">
        <v>20</v>
      </c>
      <c r="Q111" s="84">
        <v>54</v>
      </c>
      <c r="R111" s="84">
        <v>57.1</v>
      </c>
      <c r="S111" s="3">
        <v>5.4</v>
      </c>
      <c r="T111" s="64">
        <v>7.4</v>
      </c>
      <c r="U111" s="105">
        <v>18.5</v>
      </c>
      <c r="V111" s="94">
        <v>7.9</v>
      </c>
      <c r="W111" s="86">
        <v>0.3</v>
      </c>
      <c r="X111" s="3">
        <v>1.7</v>
      </c>
      <c r="Y111" s="91">
        <v>21.2</v>
      </c>
      <c r="Z111" s="31">
        <v>1.9</v>
      </c>
      <c r="AA111" s="205">
        <v>82.8</v>
      </c>
      <c r="AB111" s="205">
        <v>50.4</v>
      </c>
      <c r="AC111" s="45">
        <v>12.2</v>
      </c>
      <c r="AD111" s="205">
        <v>37.799999999999997</v>
      </c>
      <c r="AE111" s="205">
        <f t="shared" si="8"/>
        <v>25.97</v>
      </c>
      <c r="AF111" s="205">
        <f t="shared" si="9"/>
        <v>1.1679999999999999</v>
      </c>
      <c r="AG111" s="205">
        <f t="shared" si="10"/>
        <v>4.5999999999999988</v>
      </c>
      <c r="AH111" s="205">
        <f t="shared" si="11"/>
        <v>12.118399999999999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</row>
    <row r="112" spans="1:95" ht="15" thickBot="1" x14ac:dyDescent="0.35">
      <c r="A112" s="3" t="s">
        <v>21</v>
      </c>
      <c r="B112" s="207" t="s">
        <v>222</v>
      </c>
      <c r="C112" s="207" t="s">
        <v>223</v>
      </c>
      <c r="D112" s="207" t="s">
        <v>152</v>
      </c>
      <c r="E112" s="207">
        <v>20</v>
      </c>
      <c r="F112" s="3">
        <v>70.3</v>
      </c>
      <c r="G112" s="178">
        <v>3.9</v>
      </c>
      <c r="H112" s="8">
        <v>4</v>
      </c>
      <c r="I112" s="9">
        <v>6</v>
      </c>
      <c r="J112" s="9">
        <v>4.5</v>
      </c>
      <c r="K112" s="29">
        <v>1.6</v>
      </c>
      <c r="L112" s="8">
        <v>123.7</v>
      </c>
      <c r="M112" s="207">
        <f t="shared" si="6"/>
        <v>47.599999999999994</v>
      </c>
      <c r="N112" s="53">
        <v>95.2</v>
      </c>
      <c r="O112" s="207">
        <f t="shared" si="7"/>
        <v>78.599999999999994</v>
      </c>
      <c r="P112" s="3">
        <v>21.5</v>
      </c>
      <c r="Q112" s="6">
        <v>64.5</v>
      </c>
      <c r="R112" s="8">
        <v>64.3</v>
      </c>
      <c r="S112" s="5">
        <v>17.600000000000001</v>
      </c>
      <c r="T112" s="6">
        <v>24.1</v>
      </c>
      <c r="U112" s="3">
        <v>10.199999999999999</v>
      </c>
      <c r="V112" s="3">
        <v>17.5</v>
      </c>
      <c r="W112" s="3">
        <v>2.1</v>
      </c>
      <c r="X112" s="3">
        <v>1.6</v>
      </c>
      <c r="Y112" s="77">
        <v>69.5</v>
      </c>
      <c r="Z112" s="14">
        <v>3.3</v>
      </c>
      <c r="AA112" s="205">
        <v>60.199999999999996</v>
      </c>
      <c r="AB112" s="205">
        <v>64.5</v>
      </c>
      <c r="AC112" s="97">
        <v>0</v>
      </c>
      <c r="AD112" s="205">
        <v>0</v>
      </c>
      <c r="AE112" s="205">
        <f t="shared" si="8"/>
        <v>31.785</v>
      </c>
      <c r="AF112" s="205">
        <f t="shared" si="9"/>
        <v>-3.0804000000000005</v>
      </c>
      <c r="AG112" s="205">
        <f t="shared" si="10"/>
        <v>18.21</v>
      </c>
      <c r="AH112" s="205">
        <f t="shared" si="11"/>
        <v>17.252880000000001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</row>
    <row r="113" spans="1:95" ht="15" thickBot="1" x14ac:dyDescent="0.35">
      <c r="A113" s="3" t="s">
        <v>41</v>
      </c>
      <c r="B113" s="207" t="s">
        <v>224</v>
      </c>
      <c r="C113" s="207" t="s">
        <v>225</v>
      </c>
      <c r="D113" s="207" t="s">
        <v>96</v>
      </c>
      <c r="E113" s="207">
        <v>21</v>
      </c>
      <c r="F113" s="3">
        <v>89.5</v>
      </c>
      <c r="G113" s="178">
        <v>3.9</v>
      </c>
      <c r="H113" s="84">
        <v>2.8</v>
      </c>
      <c r="I113" s="42">
        <v>3.8</v>
      </c>
      <c r="J113" s="19">
        <v>4</v>
      </c>
      <c r="K113" s="3">
        <v>-0.3</v>
      </c>
      <c r="L113" s="46">
        <v>112.7</v>
      </c>
      <c r="M113" s="207">
        <f t="shared" si="6"/>
        <v>3.3000000000000003</v>
      </c>
      <c r="N113" s="122">
        <v>111.4</v>
      </c>
      <c r="O113" s="207">
        <f t="shared" si="7"/>
        <v>17.5</v>
      </c>
      <c r="P113" s="19">
        <v>27.2</v>
      </c>
      <c r="Q113" s="3">
        <v>51.7</v>
      </c>
      <c r="R113" s="63">
        <v>59.5</v>
      </c>
      <c r="S113" s="54">
        <v>3.2</v>
      </c>
      <c r="T113" s="3">
        <v>12.1</v>
      </c>
      <c r="U113" s="41">
        <v>20.6</v>
      </c>
      <c r="V113" s="126">
        <v>14.2</v>
      </c>
      <c r="W113" s="3">
        <v>0.8</v>
      </c>
      <c r="X113" s="71">
        <v>3</v>
      </c>
      <c r="Y113" s="88">
        <v>64.8</v>
      </c>
      <c r="Z113" s="87">
        <v>2.6</v>
      </c>
      <c r="AA113" s="205">
        <v>80.5</v>
      </c>
      <c r="AB113" s="205">
        <v>49</v>
      </c>
      <c r="AC113" s="78">
        <v>8.8000000000000007</v>
      </c>
      <c r="AD113" s="205">
        <v>36.799999999999997</v>
      </c>
      <c r="AE113" s="205">
        <f t="shared" si="8"/>
        <v>33.385000000000005</v>
      </c>
      <c r="AF113" s="205">
        <f t="shared" si="9"/>
        <v>6.3551000000000002</v>
      </c>
      <c r="AG113" s="205">
        <f t="shared" si="10"/>
        <v>7.9950000000000001</v>
      </c>
      <c r="AH113" s="205">
        <f t="shared" si="11"/>
        <v>17.659030000000001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 spans="1:95" ht="15" thickBot="1" x14ac:dyDescent="0.35">
      <c r="A114" s="3" t="s">
        <v>24</v>
      </c>
      <c r="B114" s="207" t="s">
        <v>226</v>
      </c>
      <c r="C114" s="207" t="s">
        <v>74</v>
      </c>
      <c r="D114" s="207" t="s">
        <v>75</v>
      </c>
      <c r="E114" s="207">
        <v>22</v>
      </c>
      <c r="F114" s="3">
        <v>90.2</v>
      </c>
      <c r="G114" s="178">
        <v>3.9</v>
      </c>
      <c r="H114" s="6">
        <v>4.3</v>
      </c>
      <c r="I114" s="50">
        <v>5.2</v>
      </c>
      <c r="J114" s="42">
        <v>2.6</v>
      </c>
      <c r="K114" s="27">
        <v>2.6</v>
      </c>
      <c r="L114" s="11">
        <v>120.3</v>
      </c>
      <c r="M114" s="207">
        <f t="shared" si="6"/>
        <v>28.1</v>
      </c>
      <c r="N114" s="3">
        <v>99.5</v>
      </c>
      <c r="O114" s="207">
        <f t="shared" si="7"/>
        <v>64.5</v>
      </c>
      <c r="P114" s="3">
        <v>19.2</v>
      </c>
      <c r="Q114" s="41">
        <v>55.2</v>
      </c>
      <c r="R114" s="19">
        <v>62</v>
      </c>
      <c r="S114" s="89">
        <v>1.1000000000000001</v>
      </c>
      <c r="T114" s="64">
        <v>7.5</v>
      </c>
      <c r="U114" s="11">
        <v>27.9</v>
      </c>
      <c r="V114" s="3">
        <v>21.4</v>
      </c>
      <c r="W114" s="86">
        <v>0.3</v>
      </c>
      <c r="X114" s="55">
        <v>2.6</v>
      </c>
      <c r="Y114" s="14">
        <v>39.4</v>
      </c>
      <c r="Z114" s="92">
        <v>2.2000000000000002</v>
      </c>
      <c r="AA114" s="205">
        <v>93.4</v>
      </c>
      <c r="AB114" s="205">
        <v>58.8</v>
      </c>
      <c r="AC114" s="14">
        <v>6.9</v>
      </c>
      <c r="AD114" s="205">
        <v>34.1</v>
      </c>
      <c r="AE114" s="205">
        <f t="shared" si="8"/>
        <v>30.164999999999999</v>
      </c>
      <c r="AF114" s="205">
        <f t="shared" si="9"/>
        <v>10.399999999999999</v>
      </c>
      <c r="AG114" s="205">
        <f t="shared" si="10"/>
        <v>15.214999999999998</v>
      </c>
      <c r="AH114" s="205">
        <f t="shared" si="11"/>
        <v>19.750499999999999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 spans="1:95" ht="15" thickBot="1" x14ac:dyDescent="0.35">
      <c r="A115" s="3" t="s">
        <v>21</v>
      </c>
      <c r="B115" s="207" t="s">
        <v>227</v>
      </c>
      <c r="C115" s="207" t="s">
        <v>228</v>
      </c>
      <c r="D115" s="207" t="s">
        <v>27</v>
      </c>
      <c r="E115" s="207">
        <v>18</v>
      </c>
      <c r="F115" s="3">
        <v>60.4</v>
      </c>
      <c r="G115" s="178">
        <v>3.9</v>
      </c>
      <c r="H115" s="81">
        <v>2.9</v>
      </c>
      <c r="I115" s="11">
        <v>6.7</v>
      </c>
      <c r="J115" s="6">
        <v>6.7</v>
      </c>
      <c r="K115" s="3">
        <v>0</v>
      </c>
      <c r="L115" s="8">
        <v>123.4</v>
      </c>
      <c r="M115" s="207">
        <f t="shared" si="6"/>
        <v>44.9</v>
      </c>
      <c r="N115" s="3">
        <v>104.6</v>
      </c>
      <c r="O115" s="207">
        <f t="shared" si="7"/>
        <v>43.000000000000007</v>
      </c>
      <c r="P115" s="3">
        <v>22.5</v>
      </c>
      <c r="Q115" s="9">
        <v>59.7</v>
      </c>
      <c r="R115" s="7">
        <v>64.2</v>
      </c>
      <c r="S115" s="85">
        <v>2.2000000000000002</v>
      </c>
      <c r="T115" s="3">
        <v>12.6</v>
      </c>
      <c r="U115" s="86">
        <v>8.5</v>
      </c>
      <c r="V115" s="143">
        <v>12.9</v>
      </c>
      <c r="W115" s="3">
        <v>1.4</v>
      </c>
      <c r="X115" s="119">
        <v>1</v>
      </c>
      <c r="Y115" s="14">
        <v>34.1</v>
      </c>
      <c r="Z115" s="87">
        <v>2.6</v>
      </c>
      <c r="AA115" s="205">
        <v>87.5</v>
      </c>
      <c r="AB115" s="205">
        <v>47.4</v>
      </c>
      <c r="AC115" s="77">
        <v>14</v>
      </c>
      <c r="AD115" s="205">
        <v>44.4</v>
      </c>
      <c r="AE115" s="205">
        <f t="shared" si="8"/>
        <v>28.265000000000001</v>
      </c>
      <c r="AF115" s="205">
        <f t="shared" si="9"/>
        <v>-0.24149999999999999</v>
      </c>
      <c r="AG115" s="205">
        <f t="shared" si="10"/>
        <v>11.495000000000001</v>
      </c>
      <c r="AH115" s="205">
        <f t="shared" si="11"/>
        <v>14.68205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 spans="1:95" ht="15" thickBot="1" x14ac:dyDescent="0.35">
      <c r="A116" s="3" t="s">
        <v>24</v>
      </c>
      <c r="B116" s="207" t="s">
        <v>229</v>
      </c>
      <c r="C116" s="207" t="s">
        <v>230</v>
      </c>
      <c r="D116" s="207" t="s">
        <v>166</v>
      </c>
      <c r="E116" s="207">
        <v>21</v>
      </c>
      <c r="F116" s="3">
        <v>57.8</v>
      </c>
      <c r="G116" s="178">
        <v>3.9</v>
      </c>
      <c r="H116" s="55">
        <v>3</v>
      </c>
      <c r="I116" s="5">
        <v>10.4</v>
      </c>
      <c r="J116" s="5">
        <v>8.3000000000000007</v>
      </c>
      <c r="K116" s="18">
        <v>2.2000000000000002</v>
      </c>
      <c r="L116" s="5">
        <v>142.6</v>
      </c>
      <c r="M116" s="207">
        <f t="shared" si="6"/>
        <v>97.3</v>
      </c>
      <c r="N116" s="75">
        <v>98.8</v>
      </c>
      <c r="O116" s="207">
        <f t="shared" si="7"/>
        <v>67.199999999999989</v>
      </c>
      <c r="P116" s="86">
        <v>17.2</v>
      </c>
      <c r="Q116" s="5">
        <v>70.8</v>
      </c>
      <c r="R116" s="5">
        <v>71.5</v>
      </c>
      <c r="S116" s="54">
        <v>3.2</v>
      </c>
      <c r="T116" s="3">
        <v>10.1</v>
      </c>
      <c r="U116" s="3">
        <v>12.3</v>
      </c>
      <c r="V116" s="30">
        <v>9.4</v>
      </c>
      <c r="W116" s="107">
        <v>0</v>
      </c>
      <c r="X116" s="3">
        <v>2</v>
      </c>
      <c r="Y116" s="182">
        <v>11.1</v>
      </c>
      <c r="Z116" s="23">
        <v>2.4</v>
      </c>
      <c r="AA116" s="205">
        <v>80</v>
      </c>
      <c r="AB116" s="205">
        <v>56.8</v>
      </c>
      <c r="AC116" s="33">
        <v>15.4</v>
      </c>
      <c r="AD116" s="205">
        <v>49.7</v>
      </c>
      <c r="AE116" s="205">
        <f t="shared" si="8"/>
        <v>26.77</v>
      </c>
      <c r="AF116" s="205">
        <f t="shared" si="9"/>
        <v>1.2715999999999998</v>
      </c>
      <c r="AG116" s="205">
        <f t="shared" si="10"/>
        <v>16.459999999999997</v>
      </c>
      <c r="AH116" s="205">
        <f t="shared" si="11"/>
        <v>16.027479999999997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</row>
    <row r="117" spans="1:95" ht="15" thickBot="1" x14ac:dyDescent="0.35">
      <c r="A117" s="3" t="s">
        <v>21</v>
      </c>
      <c r="B117" s="207" t="s">
        <v>231</v>
      </c>
      <c r="C117" s="207" t="s">
        <v>232</v>
      </c>
      <c r="D117" s="207" t="s">
        <v>62</v>
      </c>
      <c r="E117" s="207">
        <v>22</v>
      </c>
      <c r="F117" s="3">
        <v>90.5</v>
      </c>
      <c r="G117" s="178">
        <v>3.9</v>
      </c>
      <c r="H117" s="3">
        <v>2.5</v>
      </c>
      <c r="I117" s="29">
        <v>2.1</v>
      </c>
      <c r="J117" s="16">
        <v>3.1</v>
      </c>
      <c r="K117" s="3">
        <v>-1</v>
      </c>
      <c r="L117" s="19">
        <v>118.5</v>
      </c>
      <c r="M117" s="207">
        <f t="shared" si="6"/>
        <v>20.100000000000001</v>
      </c>
      <c r="N117" s="183">
        <v>114.6</v>
      </c>
      <c r="O117" s="207">
        <f t="shared" si="7"/>
        <v>10.799999999999997</v>
      </c>
      <c r="P117" s="81">
        <v>23.5</v>
      </c>
      <c r="Q117" s="18">
        <v>55.6</v>
      </c>
      <c r="R117" s="60">
        <v>61.7</v>
      </c>
      <c r="S117" s="64">
        <v>1.6</v>
      </c>
      <c r="T117" s="36">
        <v>8</v>
      </c>
      <c r="U117" s="19">
        <v>25.9</v>
      </c>
      <c r="V117" s="3">
        <v>16.7</v>
      </c>
      <c r="W117" s="107">
        <v>0</v>
      </c>
      <c r="X117" s="3">
        <v>1.5</v>
      </c>
      <c r="Y117" s="48">
        <v>57.3</v>
      </c>
      <c r="Z117" s="62">
        <v>1.5</v>
      </c>
      <c r="AA117" s="205">
        <v>79.600000000000009</v>
      </c>
      <c r="AB117" s="205">
        <v>56.999999999999993</v>
      </c>
      <c r="AC117" s="14">
        <v>4.8</v>
      </c>
      <c r="AD117" s="205">
        <v>34.799999999999997</v>
      </c>
      <c r="AE117" s="205">
        <f t="shared" si="8"/>
        <v>32.870000000000005</v>
      </c>
      <c r="AF117" s="205">
        <f t="shared" si="9"/>
        <v>10.977799999999998</v>
      </c>
      <c r="AG117" s="205">
        <f t="shared" si="10"/>
        <v>3.9549999999999992</v>
      </c>
      <c r="AH117" s="205">
        <f t="shared" si="11"/>
        <v>17.627840000000003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</row>
    <row r="118" spans="1:95" ht="15" thickBot="1" x14ac:dyDescent="0.35">
      <c r="A118" s="3" t="s">
        <v>41</v>
      </c>
      <c r="B118" s="207" t="s">
        <v>233</v>
      </c>
      <c r="C118" s="207" t="s">
        <v>234</v>
      </c>
      <c r="D118" s="207" t="s">
        <v>30</v>
      </c>
      <c r="E118" s="207">
        <v>22</v>
      </c>
      <c r="F118" s="3">
        <v>80.099999999999994</v>
      </c>
      <c r="G118" s="178">
        <v>3.9</v>
      </c>
      <c r="H118" s="63">
        <v>3.2</v>
      </c>
      <c r="I118" s="60">
        <v>5.5</v>
      </c>
      <c r="J118" s="11">
        <v>4.8</v>
      </c>
      <c r="K118" s="3">
        <v>0.7</v>
      </c>
      <c r="L118" s="29">
        <v>109.7</v>
      </c>
      <c r="M118" s="207">
        <f t="shared" si="6"/>
        <v>2</v>
      </c>
      <c r="N118" s="3">
        <v>105.2</v>
      </c>
      <c r="O118" s="207">
        <f t="shared" si="7"/>
        <v>40.300000000000004</v>
      </c>
      <c r="P118" s="6">
        <v>30.6</v>
      </c>
      <c r="Q118" s="3">
        <v>48.1</v>
      </c>
      <c r="R118" s="3">
        <v>53.2</v>
      </c>
      <c r="S118" s="51">
        <v>0.7</v>
      </c>
      <c r="T118" s="89">
        <v>6.7</v>
      </c>
      <c r="U118" s="42">
        <v>22.2</v>
      </c>
      <c r="V118" s="143">
        <v>12.7</v>
      </c>
      <c r="W118" s="86">
        <v>0.3</v>
      </c>
      <c r="X118" s="76">
        <v>2.4</v>
      </c>
      <c r="Y118" s="14">
        <v>36.299999999999997</v>
      </c>
      <c r="Z118" s="62">
        <v>1.5</v>
      </c>
      <c r="AA118" s="205">
        <v>78.900000000000006</v>
      </c>
      <c r="AB118" s="205">
        <v>47.5</v>
      </c>
      <c r="AC118" s="44">
        <v>14.4</v>
      </c>
      <c r="AD118" s="205">
        <v>32.4</v>
      </c>
      <c r="AE118" s="205">
        <f t="shared" si="8"/>
        <v>30.22</v>
      </c>
      <c r="AF118" s="205">
        <f t="shared" si="9"/>
        <v>6.2845999999999993</v>
      </c>
      <c r="AG118" s="205">
        <f t="shared" si="10"/>
        <v>11.11</v>
      </c>
      <c r="AH118" s="205">
        <f t="shared" si="11"/>
        <v>17.306380000000001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</row>
    <row r="119" spans="1:95" ht="15" thickBot="1" x14ac:dyDescent="0.35">
      <c r="A119" s="3" t="s">
        <v>14</v>
      </c>
      <c r="B119" s="207" t="s">
        <v>235</v>
      </c>
      <c r="C119" s="207" t="s">
        <v>236</v>
      </c>
      <c r="D119" s="207" t="s">
        <v>17</v>
      </c>
      <c r="E119" s="207">
        <v>22</v>
      </c>
      <c r="F119" s="3">
        <v>67.400000000000006</v>
      </c>
      <c r="G119" s="178">
        <v>3.9</v>
      </c>
      <c r="H119" s="71">
        <v>3.4</v>
      </c>
      <c r="I119" s="11">
        <v>6.8</v>
      </c>
      <c r="J119" s="8">
        <v>5.6</v>
      </c>
      <c r="K119" s="3">
        <v>1.2</v>
      </c>
      <c r="L119" s="11">
        <v>120.6</v>
      </c>
      <c r="M119" s="207">
        <f t="shared" si="6"/>
        <v>30.2</v>
      </c>
      <c r="N119" s="128">
        <v>98</v>
      </c>
      <c r="O119" s="207">
        <f t="shared" si="7"/>
        <v>69.8</v>
      </c>
      <c r="P119" s="9">
        <v>27.5</v>
      </c>
      <c r="Q119" s="50">
        <v>58.6</v>
      </c>
      <c r="R119" s="50">
        <v>61.3</v>
      </c>
      <c r="S119" s="60">
        <v>10.8</v>
      </c>
      <c r="T119" s="105">
        <v>15.3</v>
      </c>
      <c r="U119" s="3">
        <v>12.2</v>
      </c>
      <c r="V119" s="118">
        <v>15.8</v>
      </c>
      <c r="W119" s="3">
        <v>1.5</v>
      </c>
      <c r="X119" s="3">
        <v>1.6</v>
      </c>
      <c r="Y119" s="14">
        <v>47.3</v>
      </c>
      <c r="Z119" s="161">
        <v>4.0999999999999996</v>
      </c>
      <c r="AA119" s="205">
        <v>69.8</v>
      </c>
      <c r="AB119" s="205">
        <v>59.9</v>
      </c>
      <c r="AC119" s="14">
        <v>6.2</v>
      </c>
      <c r="AD119" s="205">
        <v>36.5</v>
      </c>
      <c r="AE119" s="205">
        <f t="shared" si="8"/>
        <v>30.914999999999999</v>
      </c>
      <c r="AF119" s="205">
        <f t="shared" si="9"/>
        <v>0.22529999999999786</v>
      </c>
      <c r="AG119" s="205">
        <f t="shared" si="10"/>
        <v>16.489999999999998</v>
      </c>
      <c r="AH119" s="205">
        <f t="shared" si="11"/>
        <v>17.380589999999998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</row>
    <row r="120" spans="1:95" ht="15" thickBot="1" x14ac:dyDescent="0.35">
      <c r="A120" s="3" t="s">
        <v>21</v>
      </c>
      <c r="B120" s="207" t="s">
        <v>237</v>
      </c>
      <c r="C120" s="207" t="s">
        <v>238</v>
      </c>
      <c r="D120" s="207" t="s">
        <v>62</v>
      </c>
      <c r="E120" s="207">
        <v>20</v>
      </c>
      <c r="F120" s="3">
        <v>87.9</v>
      </c>
      <c r="G120" s="178">
        <v>3.9</v>
      </c>
      <c r="H120" s="6">
        <v>4.0999999999999996</v>
      </c>
      <c r="I120" s="11">
        <v>6.8</v>
      </c>
      <c r="J120" s="50">
        <v>3.7</v>
      </c>
      <c r="K120" s="50">
        <v>3.1</v>
      </c>
      <c r="L120" s="27">
        <v>114.6</v>
      </c>
      <c r="M120" s="207">
        <f t="shared" si="6"/>
        <v>7.3</v>
      </c>
      <c r="N120" s="3">
        <v>100.7</v>
      </c>
      <c r="O120" s="207">
        <f t="shared" si="7"/>
        <v>59.1</v>
      </c>
      <c r="P120" s="7">
        <v>28.9</v>
      </c>
      <c r="Q120" s="3">
        <v>52.6</v>
      </c>
      <c r="R120" s="35">
        <v>58.3</v>
      </c>
      <c r="S120" s="3">
        <v>4.8</v>
      </c>
      <c r="T120" s="3">
        <v>10.3</v>
      </c>
      <c r="U120" s="7">
        <v>28.8</v>
      </c>
      <c r="V120" s="3">
        <v>16.600000000000001</v>
      </c>
      <c r="W120" s="3">
        <v>1.1000000000000001</v>
      </c>
      <c r="X120" s="5">
        <v>4.5</v>
      </c>
      <c r="Y120" s="68">
        <v>51.8</v>
      </c>
      <c r="Z120" s="14">
        <v>3.2</v>
      </c>
      <c r="AA120" s="205">
        <v>77.5</v>
      </c>
      <c r="AB120" s="205">
        <v>52.6</v>
      </c>
      <c r="AC120" s="14">
        <v>3.7</v>
      </c>
      <c r="AD120" s="205">
        <v>34.799999999999997</v>
      </c>
      <c r="AE120" s="205">
        <f t="shared" si="8"/>
        <v>33.524999999999999</v>
      </c>
      <c r="AF120" s="205">
        <f t="shared" si="9"/>
        <v>13.395200000000001</v>
      </c>
      <c r="AG120" s="205">
        <f t="shared" si="10"/>
        <v>17.765000000000001</v>
      </c>
      <c r="AH120" s="205">
        <f t="shared" si="11"/>
        <v>22.75806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</row>
    <row r="121" spans="1:95" ht="15" thickBot="1" x14ac:dyDescent="0.35">
      <c r="A121" s="3" t="s">
        <v>14</v>
      </c>
      <c r="B121" s="207" t="s">
        <v>239</v>
      </c>
      <c r="C121" s="207" t="s">
        <v>240</v>
      </c>
      <c r="D121" s="207" t="s">
        <v>241</v>
      </c>
      <c r="E121" s="207">
        <v>19</v>
      </c>
      <c r="F121" s="3">
        <v>74.2</v>
      </c>
      <c r="G121" s="178">
        <v>3.9</v>
      </c>
      <c r="H121" s="3">
        <v>1.9</v>
      </c>
      <c r="I121" s="83">
        <v>2.6</v>
      </c>
      <c r="J121" s="7">
        <v>5.3</v>
      </c>
      <c r="K121" s="119">
        <v>-2.6</v>
      </c>
      <c r="L121" s="19">
        <v>119.1</v>
      </c>
      <c r="M121" s="207">
        <f t="shared" si="6"/>
        <v>22.1</v>
      </c>
      <c r="N121" s="179">
        <v>117.2</v>
      </c>
      <c r="O121" s="207">
        <f t="shared" si="7"/>
        <v>4.1000000000000085</v>
      </c>
      <c r="P121" s="81">
        <v>23.6</v>
      </c>
      <c r="Q121" s="29">
        <v>54.1</v>
      </c>
      <c r="R121" s="83">
        <v>57.7</v>
      </c>
      <c r="S121" s="36">
        <v>2</v>
      </c>
      <c r="T121" s="3">
        <v>9.9</v>
      </c>
      <c r="U121" s="3">
        <v>10.8</v>
      </c>
      <c r="V121" s="94">
        <v>6.2</v>
      </c>
      <c r="W121" s="3">
        <v>0.9</v>
      </c>
      <c r="X121" s="157">
        <v>0.5</v>
      </c>
      <c r="Y121" s="171">
        <v>27.5</v>
      </c>
      <c r="Z121" s="184">
        <v>1.1000000000000001</v>
      </c>
      <c r="AA121" s="205">
        <v>81.100000000000009</v>
      </c>
      <c r="AB121" s="205">
        <v>54.500000000000007</v>
      </c>
      <c r="AC121" s="22">
        <v>10.5</v>
      </c>
      <c r="AD121" s="205">
        <v>35.699999999999996</v>
      </c>
      <c r="AE121" s="205">
        <f t="shared" si="8"/>
        <v>26.655000000000005</v>
      </c>
      <c r="AF121" s="205">
        <f t="shared" si="9"/>
        <v>0.221</v>
      </c>
      <c r="AG121" s="205">
        <f t="shared" si="10"/>
        <v>2.705000000000001</v>
      </c>
      <c r="AH121" s="205">
        <f t="shared" si="11"/>
        <v>11.539800000000003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</row>
    <row r="122" spans="1:95" ht="15" thickBot="1" x14ac:dyDescent="0.35">
      <c r="A122" s="3" t="s">
        <v>21</v>
      </c>
      <c r="B122" s="207" t="s">
        <v>242</v>
      </c>
      <c r="C122" s="207" t="s">
        <v>243</v>
      </c>
      <c r="D122" s="207" t="s">
        <v>146</v>
      </c>
      <c r="E122" s="207">
        <v>21</v>
      </c>
      <c r="F122" s="3">
        <v>85</v>
      </c>
      <c r="G122" s="178">
        <v>3.9</v>
      </c>
      <c r="H122" s="3">
        <v>2.5</v>
      </c>
      <c r="I122" s="42">
        <v>3.7</v>
      </c>
      <c r="J122" s="60">
        <v>3.9</v>
      </c>
      <c r="K122" s="3">
        <v>-0.2</v>
      </c>
      <c r="L122" s="8">
        <v>123.8</v>
      </c>
      <c r="M122" s="207">
        <f t="shared" si="6"/>
        <v>48.3</v>
      </c>
      <c r="N122" s="172">
        <v>113</v>
      </c>
      <c r="O122" s="207">
        <f t="shared" si="7"/>
        <v>14.799999999999997</v>
      </c>
      <c r="P122" s="3">
        <v>21.1</v>
      </c>
      <c r="Q122" s="20">
        <v>57.8</v>
      </c>
      <c r="R122" s="8">
        <v>64.400000000000006</v>
      </c>
      <c r="S122" s="3">
        <v>5.0999999999999996</v>
      </c>
      <c r="T122" s="3">
        <v>10.3</v>
      </c>
      <c r="U122" s="131">
        <v>9.1</v>
      </c>
      <c r="V122" s="82">
        <v>12.2</v>
      </c>
      <c r="W122" s="43">
        <v>0.4</v>
      </c>
      <c r="X122" s="3">
        <v>2.2999999999999998</v>
      </c>
      <c r="Y122" s="57">
        <v>62.4</v>
      </c>
      <c r="Z122" s="109">
        <v>1.6</v>
      </c>
      <c r="AA122" s="205">
        <v>82.399999999999991</v>
      </c>
      <c r="AB122" s="205">
        <v>54.900000000000006</v>
      </c>
      <c r="AC122" s="14">
        <v>5.0999999999999996</v>
      </c>
      <c r="AD122" s="205">
        <v>43.1</v>
      </c>
      <c r="AE122" s="205">
        <f t="shared" si="8"/>
        <v>30.814999999999998</v>
      </c>
      <c r="AF122" s="205">
        <f t="shared" si="9"/>
        <v>0.32160000000000033</v>
      </c>
      <c r="AG122" s="205">
        <f t="shared" si="10"/>
        <v>6.4749999999999988</v>
      </c>
      <c r="AH122" s="205">
        <f t="shared" si="11"/>
        <v>14.364979999999999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</row>
    <row r="123" spans="1:95" ht="15" thickBot="1" x14ac:dyDescent="0.35">
      <c r="A123" s="3" t="s">
        <v>21</v>
      </c>
      <c r="B123" s="207" t="s">
        <v>244</v>
      </c>
      <c r="C123" s="207" t="s">
        <v>245</v>
      </c>
      <c r="D123" s="207" t="s">
        <v>27</v>
      </c>
      <c r="E123" s="207">
        <v>22</v>
      </c>
      <c r="F123" s="3">
        <v>83.6</v>
      </c>
      <c r="G123" s="178">
        <v>3.9</v>
      </c>
      <c r="H123" s="18">
        <v>3.1</v>
      </c>
      <c r="I123" s="34">
        <v>3.5</v>
      </c>
      <c r="J123" s="9">
        <v>4.3</v>
      </c>
      <c r="K123" s="3">
        <v>-0.8</v>
      </c>
      <c r="L123" s="76">
        <v>108.5</v>
      </c>
      <c r="M123" s="207">
        <f t="shared" si="6"/>
        <v>0.6</v>
      </c>
      <c r="N123" s="3">
        <v>107.6</v>
      </c>
      <c r="O123" s="207">
        <f t="shared" si="7"/>
        <v>30.900000000000006</v>
      </c>
      <c r="P123" s="7">
        <v>28.5</v>
      </c>
      <c r="Q123" s="3">
        <v>49.2</v>
      </c>
      <c r="R123" s="3">
        <v>54.4</v>
      </c>
      <c r="S123" s="37">
        <v>1.7</v>
      </c>
      <c r="T123" s="123">
        <v>8.6999999999999993</v>
      </c>
      <c r="U123" s="5">
        <v>37.1</v>
      </c>
      <c r="V123" s="3">
        <v>19.2</v>
      </c>
      <c r="W123" s="67">
        <v>0.2</v>
      </c>
      <c r="X123" s="76">
        <v>2.4</v>
      </c>
      <c r="Y123" s="14">
        <v>34.200000000000003</v>
      </c>
      <c r="Z123" s="14">
        <v>2.8</v>
      </c>
      <c r="AA123" s="205">
        <v>82.399999999999991</v>
      </c>
      <c r="AB123" s="205">
        <v>42.6</v>
      </c>
      <c r="AC123" s="45">
        <v>12.3</v>
      </c>
      <c r="AD123" s="205">
        <v>36.4</v>
      </c>
      <c r="AE123" s="205">
        <f t="shared" si="8"/>
        <v>31.915000000000003</v>
      </c>
      <c r="AF123" s="205">
        <f t="shared" si="9"/>
        <v>20.906199999999998</v>
      </c>
      <c r="AG123" s="205">
        <f t="shared" si="10"/>
        <v>8.6</v>
      </c>
      <c r="AH123" s="205">
        <f t="shared" si="11"/>
        <v>21.61786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</row>
    <row r="124" spans="1:95" ht="15" thickBot="1" x14ac:dyDescent="0.35">
      <c r="A124" s="3" t="s">
        <v>24</v>
      </c>
      <c r="B124" s="207" t="s">
        <v>246</v>
      </c>
      <c r="C124" s="207" t="s">
        <v>247</v>
      </c>
      <c r="D124" s="207" t="s">
        <v>248</v>
      </c>
      <c r="E124" s="207">
        <v>18</v>
      </c>
      <c r="F124" s="3">
        <v>82.6</v>
      </c>
      <c r="G124" s="178">
        <v>3.9</v>
      </c>
      <c r="H124" s="3">
        <v>2.2000000000000002</v>
      </c>
      <c r="I124" s="41">
        <v>2.9</v>
      </c>
      <c r="J124" s="8">
        <v>5.7</v>
      </c>
      <c r="K124" s="89">
        <v>-2.8</v>
      </c>
      <c r="L124" s="8">
        <v>124</v>
      </c>
      <c r="M124" s="207">
        <f t="shared" si="6"/>
        <v>50.3</v>
      </c>
      <c r="N124" s="183">
        <v>114.7</v>
      </c>
      <c r="O124" s="207">
        <f t="shared" si="7"/>
        <v>10.099999999999994</v>
      </c>
      <c r="P124" s="3">
        <v>21.3</v>
      </c>
      <c r="Q124" s="6">
        <v>65.5</v>
      </c>
      <c r="R124" s="6">
        <v>67</v>
      </c>
      <c r="S124" s="119">
        <v>1.2</v>
      </c>
      <c r="T124" s="85">
        <v>8.4</v>
      </c>
      <c r="U124" s="119">
        <v>5</v>
      </c>
      <c r="V124" s="94">
        <v>6.8</v>
      </c>
      <c r="W124" s="3">
        <v>0.8</v>
      </c>
      <c r="X124" s="157">
        <v>0.5</v>
      </c>
      <c r="Y124" s="150">
        <v>19.2</v>
      </c>
      <c r="Z124" s="62">
        <v>1.5</v>
      </c>
      <c r="AA124" s="205">
        <v>78.600000000000009</v>
      </c>
      <c r="AB124" s="205">
        <v>53.800000000000004</v>
      </c>
      <c r="AC124" s="93">
        <v>13.2</v>
      </c>
      <c r="AD124" s="205">
        <v>49.2</v>
      </c>
      <c r="AE124" s="205">
        <f t="shared" si="8"/>
        <v>26.590000000000003</v>
      </c>
      <c r="AF124" s="205">
        <f t="shared" si="9"/>
        <v>8.4000000000000019E-2</v>
      </c>
      <c r="AG124" s="205">
        <f t="shared" si="10"/>
        <v>3.569999999999999</v>
      </c>
      <c r="AH124" s="205">
        <f t="shared" si="11"/>
        <v>11.732200000000002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</row>
    <row r="125" spans="1:95" ht="15" thickBot="1" x14ac:dyDescent="0.35">
      <c r="A125" s="3" t="s">
        <v>21</v>
      </c>
      <c r="B125" s="207" t="s">
        <v>249</v>
      </c>
      <c r="C125" s="207" t="s">
        <v>250</v>
      </c>
      <c r="D125" s="207" t="s">
        <v>251</v>
      </c>
      <c r="E125" s="207">
        <v>21</v>
      </c>
      <c r="F125" s="3">
        <v>88.9</v>
      </c>
      <c r="G125" s="178">
        <v>3.9</v>
      </c>
      <c r="H125" s="168">
        <v>0.4</v>
      </c>
      <c r="I125" s="3">
        <v>-1.1000000000000001</v>
      </c>
      <c r="J125" s="60">
        <v>3.8</v>
      </c>
      <c r="K125" s="101">
        <v>-4.9000000000000004</v>
      </c>
      <c r="L125" s="63">
        <v>114.1</v>
      </c>
      <c r="M125" s="207">
        <f t="shared" si="6"/>
        <v>6</v>
      </c>
      <c r="N125" s="98">
        <v>130.80000000000001</v>
      </c>
      <c r="O125" s="207">
        <f t="shared" si="7"/>
        <v>0</v>
      </c>
      <c r="P125" s="9">
        <v>27.8</v>
      </c>
      <c r="Q125" s="60">
        <v>58.9</v>
      </c>
      <c r="R125" s="11">
        <v>63.1</v>
      </c>
      <c r="S125" s="51">
        <v>0.6</v>
      </c>
      <c r="T125" s="64">
        <v>7.5</v>
      </c>
      <c r="U125" s="11">
        <v>27.1</v>
      </c>
      <c r="V125" s="3">
        <v>19.5</v>
      </c>
      <c r="W125" s="86">
        <v>0.3</v>
      </c>
      <c r="X125" s="52">
        <v>1.2</v>
      </c>
      <c r="Y125" s="162">
        <v>25.9</v>
      </c>
      <c r="Z125" s="14">
        <v>2.8</v>
      </c>
      <c r="AA125" s="205">
        <v>92.7</v>
      </c>
      <c r="AB125" s="205">
        <v>54.2</v>
      </c>
      <c r="AC125" s="40">
        <v>11.8</v>
      </c>
      <c r="AD125" s="205">
        <v>42.199999999999996</v>
      </c>
      <c r="AE125" s="205">
        <f t="shared" si="8"/>
        <v>31.550000000000004</v>
      </c>
      <c r="AF125" s="205">
        <f t="shared" si="9"/>
        <v>11.2585</v>
      </c>
      <c r="AG125" s="205">
        <f t="shared" si="10"/>
        <v>0.43499999999999961</v>
      </c>
      <c r="AH125" s="205">
        <f t="shared" si="11"/>
        <v>16.128050000000002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</row>
    <row r="126" spans="1:95" ht="15" thickBot="1" x14ac:dyDescent="0.35">
      <c r="A126" s="3" t="s">
        <v>24</v>
      </c>
      <c r="B126" s="207" t="s">
        <v>252</v>
      </c>
      <c r="C126" s="207" t="s">
        <v>253</v>
      </c>
      <c r="D126" s="207" t="s">
        <v>248</v>
      </c>
      <c r="E126" s="207">
        <v>17</v>
      </c>
      <c r="F126" s="3">
        <v>63.3</v>
      </c>
      <c r="G126" s="178">
        <v>3.9</v>
      </c>
      <c r="H126" s="35">
        <v>3</v>
      </c>
      <c r="I126" s="11">
        <v>6.6</v>
      </c>
      <c r="J126" s="7">
        <v>5.3</v>
      </c>
      <c r="K126" s="105">
        <v>1.3</v>
      </c>
      <c r="L126" s="7">
        <v>122.3</v>
      </c>
      <c r="M126" s="207">
        <f t="shared" si="6"/>
        <v>42.199999999999996</v>
      </c>
      <c r="N126" s="3">
        <v>104.8</v>
      </c>
      <c r="O126" s="207">
        <f t="shared" si="7"/>
        <v>42.300000000000004</v>
      </c>
      <c r="P126" s="16">
        <v>25.7</v>
      </c>
      <c r="Q126" s="18">
        <v>55.7</v>
      </c>
      <c r="R126" s="9">
        <v>62.3</v>
      </c>
      <c r="S126" s="58">
        <v>7.7</v>
      </c>
      <c r="T126" s="3">
        <v>13.2</v>
      </c>
      <c r="U126" s="3">
        <v>16.8</v>
      </c>
      <c r="V126" s="53">
        <v>13.7</v>
      </c>
      <c r="W126" s="3">
        <v>2</v>
      </c>
      <c r="X126" s="3">
        <v>2.2999999999999998</v>
      </c>
      <c r="Y126" s="93">
        <v>66.8</v>
      </c>
      <c r="Z126" s="154">
        <v>3.8</v>
      </c>
      <c r="AA126" s="205">
        <v>78.900000000000006</v>
      </c>
      <c r="AB126" s="205">
        <v>56.3</v>
      </c>
      <c r="AC126" s="14">
        <v>4.5999999999999996</v>
      </c>
      <c r="AD126" s="205">
        <v>35.699999999999996</v>
      </c>
      <c r="AE126" s="205">
        <f t="shared" si="8"/>
        <v>33.265000000000001</v>
      </c>
      <c r="AF126" s="205">
        <f t="shared" si="9"/>
        <v>4.0809999999999995</v>
      </c>
      <c r="AG126" s="205">
        <f t="shared" si="10"/>
        <v>13.514999999999999</v>
      </c>
      <c r="AH126" s="205">
        <f t="shared" si="11"/>
        <v>18.584800000000001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</row>
    <row r="127" spans="1:95" ht="15" thickBot="1" x14ac:dyDescent="0.35">
      <c r="A127" s="3" t="s">
        <v>41</v>
      </c>
      <c r="B127" s="207" t="s">
        <v>254</v>
      </c>
      <c r="C127" s="207" t="s">
        <v>255</v>
      </c>
      <c r="D127" s="207" t="s">
        <v>256</v>
      </c>
      <c r="E127" s="207">
        <v>20</v>
      </c>
      <c r="F127" s="3">
        <v>85.6</v>
      </c>
      <c r="G127" s="185">
        <v>3.8</v>
      </c>
      <c r="H127" s="3">
        <v>2.2000000000000002</v>
      </c>
      <c r="I127" s="3">
        <v>1.3</v>
      </c>
      <c r="J127" s="27">
        <v>2.8</v>
      </c>
      <c r="K127" s="131">
        <v>-1.5</v>
      </c>
      <c r="L127" s="20">
        <v>115.8</v>
      </c>
      <c r="M127" s="207">
        <f t="shared" si="6"/>
        <v>8.6999999999999993</v>
      </c>
      <c r="N127" s="139">
        <v>115.7</v>
      </c>
      <c r="O127" s="207">
        <f t="shared" si="7"/>
        <v>7.3999999999999915</v>
      </c>
      <c r="P127" s="8">
        <v>29.2</v>
      </c>
      <c r="Q127" s="3">
        <v>47</v>
      </c>
      <c r="R127" s="81">
        <v>57.4</v>
      </c>
      <c r="S127" s="123">
        <v>2.5</v>
      </c>
      <c r="T127" s="111">
        <v>6.6</v>
      </c>
      <c r="U127" s="8">
        <v>29.8</v>
      </c>
      <c r="V127" s="3">
        <v>17.8</v>
      </c>
      <c r="W127" s="86">
        <v>0.3</v>
      </c>
      <c r="X127" s="3">
        <v>2.1</v>
      </c>
      <c r="Y127" s="77">
        <v>69.400000000000006</v>
      </c>
      <c r="Z127" s="23">
        <v>2.4</v>
      </c>
      <c r="AA127" s="205">
        <v>84.6</v>
      </c>
      <c r="AB127" s="205">
        <v>48</v>
      </c>
      <c r="AC127" s="14">
        <v>6.3</v>
      </c>
      <c r="AD127" s="205">
        <v>29.9</v>
      </c>
      <c r="AE127" s="205">
        <f t="shared" si="8"/>
        <v>35.28</v>
      </c>
      <c r="AF127" s="205">
        <f t="shared" si="9"/>
        <v>14.520200000000001</v>
      </c>
      <c r="AG127" s="205">
        <f t="shared" si="10"/>
        <v>3.964999999999999</v>
      </c>
      <c r="AH127" s="205">
        <f t="shared" si="11"/>
        <v>19.65756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</row>
    <row r="128" spans="1:95" ht="15" thickBot="1" x14ac:dyDescent="0.35">
      <c r="A128" s="3" t="s">
        <v>21</v>
      </c>
      <c r="B128" s="207" t="s">
        <v>257</v>
      </c>
      <c r="C128" s="207" t="s">
        <v>258</v>
      </c>
      <c r="D128" s="207" t="s">
        <v>20</v>
      </c>
      <c r="E128" s="207">
        <v>22</v>
      </c>
      <c r="F128" s="3">
        <v>74.5</v>
      </c>
      <c r="G128" s="185">
        <v>3.8</v>
      </c>
      <c r="H128" s="60">
        <v>3.5</v>
      </c>
      <c r="I128" s="7">
        <v>7.3</v>
      </c>
      <c r="J128" s="8">
        <v>5.3</v>
      </c>
      <c r="K128" s="41">
        <v>2</v>
      </c>
      <c r="L128" s="42">
        <v>113.7</v>
      </c>
      <c r="M128" s="207">
        <f t="shared" si="6"/>
        <v>4.5999999999999996</v>
      </c>
      <c r="N128" s="3">
        <v>100</v>
      </c>
      <c r="O128" s="207">
        <f t="shared" si="7"/>
        <v>61.8</v>
      </c>
      <c r="P128" s="9">
        <v>27.5</v>
      </c>
      <c r="Q128" s="3">
        <v>52.2</v>
      </c>
      <c r="R128" s="46">
        <v>58.9</v>
      </c>
      <c r="S128" s="85">
        <v>2.2000000000000002</v>
      </c>
      <c r="T128" s="3">
        <v>12.5</v>
      </c>
      <c r="U128" s="55">
        <v>20.3</v>
      </c>
      <c r="V128" s="3">
        <v>16.7</v>
      </c>
      <c r="W128" s="20">
        <v>4.7</v>
      </c>
      <c r="X128" s="67">
        <v>1.3</v>
      </c>
      <c r="Y128" s="14">
        <v>38.1</v>
      </c>
      <c r="Z128" s="14">
        <v>3.4</v>
      </c>
      <c r="AA128" s="205">
        <v>91</v>
      </c>
      <c r="AB128" s="205">
        <v>49.7</v>
      </c>
      <c r="AC128" s="56">
        <v>11.4</v>
      </c>
      <c r="AD128" s="205">
        <v>36.799999999999997</v>
      </c>
      <c r="AE128" s="205">
        <f t="shared" si="8"/>
        <v>30.590000000000003</v>
      </c>
      <c r="AF128" s="205">
        <f t="shared" si="9"/>
        <v>6.2012000000000018</v>
      </c>
      <c r="AG128" s="205">
        <f t="shared" si="10"/>
        <v>18.524999999999999</v>
      </c>
      <c r="AH128" s="205">
        <f t="shared" si="11"/>
        <v>19.653860000000002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</row>
    <row r="129" spans="1:95" ht="15" thickBot="1" x14ac:dyDescent="0.35">
      <c r="A129" s="3" t="s">
        <v>14</v>
      </c>
      <c r="B129" s="207" t="s">
        <v>259</v>
      </c>
      <c r="C129" s="207" t="s">
        <v>19</v>
      </c>
      <c r="D129" s="207" t="s">
        <v>20</v>
      </c>
      <c r="E129" s="207">
        <v>22</v>
      </c>
      <c r="F129" s="3">
        <v>70.8</v>
      </c>
      <c r="G129" s="185">
        <v>3.8</v>
      </c>
      <c r="H129" s="7">
        <v>3.8</v>
      </c>
      <c r="I129" s="7">
        <v>7</v>
      </c>
      <c r="J129" s="7">
        <v>4.8</v>
      </c>
      <c r="K129" s="18">
        <v>2.1</v>
      </c>
      <c r="L129" s="11">
        <v>121</v>
      </c>
      <c r="M129" s="207">
        <f t="shared" si="6"/>
        <v>35.5</v>
      </c>
      <c r="N129" s="53">
        <v>95.1</v>
      </c>
      <c r="O129" s="207">
        <f t="shared" si="7"/>
        <v>79.900000000000006</v>
      </c>
      <c r="P129" s="76">
        <v>22.8</v>
      </c>
      <c r="Q129" s="110">
        <v>54.5</v>
      </c>
      <c r="R129" s="18">
        <v>58.7</v>
      </c>
      <c r="S129" s="60">
        <v>10.7</v>
      </c>
      <c r="T129" s="11">
        <v>21.1</v>
      </c>
      <c r="U129" s="3">
        <v>15.1</v>
      </c>
      <c r="V129" s="3">
        <v>18.600000000000001</v>
      </c>
      <c r="W129" s="3">
        <v>0.9</v>
      </c>
      <c r="X129" s="119">
        <v>1</v>
      </c>
      <c r="Y129" s="14">
        <v>33.5</v>
      </c>
      <c r="Z129" s="104">
        <v>2.2999999999999998</v>
      </c>
      <c r="AA129" s="205">
        <v>80.600000000000009</v>
      </c>
      <c r="AB129" s="205">
        <v>54.7</v>
      </c>
      <c r="AC129" s="14">
        <v>8</v>
      </c>
      <c r="AD129" s="205">
        <v>36.1</v>
      </c>
      <c r="AE129" s="205">
        <f t="shared" si="8"/>
        <v>27.890000000000004</v>
      </c>
      <c r="AF129" s="205">
        <f t="shared" si="9"/>
        <v>0.28379999999999728</v>
      </c>
      <c r="AG129" s="205">
        <f t="shared" si="10"/>
        <v>17.055</v>
      </c>
      <c r="AH129" s="205">
        <f t="shared" si="11"/>
        <v>16.35764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</row>
    <row r="130" spans="1:95" ht="15" thickBot="1" x14ac:dyDescent="0.35">
      <c r="A130" s="3" t="s">
        <v>41</v>
      </c>
      <c r="B130" s="207" t="s">
        <v>260</v>
      </c>
      <c r="C130" s="207" t="s">
        <v>86</v>
      </c>
      <c r="D130" s="207" t="s">
        <v>30</v>
      </c>
      <c r="E130" s="207">
        <v>21</v>
      </c>
      <c r="F130" s="3">
        <v>53.3</v>
      </c>
      <c r="G130" s="185">
        <v>3.8</v>
      </c>
      <c r="H130" s="3">
        <v>2.2000000000000002</v>
      </c>
      <c r="I130" s="9">
        <v>6.1</v>
      </c>
      <c r="J130" s="7">
        <v>5.2</v>
      </c>
      <c r="K130" s="3">
        <v>0.9</v>
      </c>
      <c r="L130" s="5">
        <v>155.69999999999999</v>
      </c>
      <c r="M130" s="207">
        <f t="shared" si="6"/>
        <v>99.3</v>
      </c>
      <c r="N130" s="3">
        <v>105.5</v>
      </c>
      <c r="O130" s="207">
        <f t="shared" si="7"/>
        <v>37.6</v>
      </c>
      <c r="P130" s="101">
        <v>10.4</v>
      </c>
      <c r="Q130" s="5">
        <v>77.400000000000006</v>
      </c>
      <c r="R130" s="5">
        <v>77</v>
      </c>
      <c r="S130" s="3">
        <v>4.8</v>
      </c>
      <c r="T130" s="3">
        <v>9.8000000000000007</v>
      </c>
      <c r="U130" s="119">
        <v>5.0999999999999996</v>
      </c>
      <c r="V130" s="30">
        <v>9.4</v>
      </c>
      <c r="W130" s="3">
        <v>0.7</v>
      </c>
      <c r="X130" s="52">
        <v>1.2</v>
      </c>
      <c r="Y130" s="158">
        <v>12.9</v>
      </c>
      <c r="Z130" s="96">
        <v>4.4000000000000004</v>
      </c>
      <c r="AA130" s="205">
        <v>66.7</v>
      </c>
      <c r="AB130" s="205">
        <v>71.399999999999991</v>
      </c>
      <c r="AC130" s="78">
        <v>8.8000000000000007</v>
      </c>
      <c r="AD130" s="205">
        <v>52.800000000000004</v>
      </c>
      <c r="AE130" s="205">
        <f t="shared" si="8"/>
        <v>25.185000000000002</v>
      </c>
      <c r="AF130" s="205">
        <f t="shared" si="9"/>
        <v>-9.3500000000000333E-2</v>
      </c>
      <c r="AG130" s="205">
        <f t="shared" si="10"/>
        <v>10.154999999999999</v>
      </c>
      <c r="AH130" s="205">
        <f t="shared" si="11"/>
        <v>13.092450000000001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</row>
    <row r="131" spans="1:95" ht="15" thickBot="1" x14ac:dyDescent="0.35">
      <c r="A131" s="3" t="s">
        <v>21</v>
      </c>
      <c r="B131" s="207" t="s">
        <v>261</v>
      </c>
      <c r="C131" s="207" t="s">
        <v>262</v>
      </c>
      <c r="D131" s="207" t="s">
        <v>152</v>
      </c>
      <c r="E131" s="207">
        <v>22</v>
      </c>
      <c r="F131" s="3">
        <v>69.2</v>
      </c>
      <c r="G131" s="185">
        <v>3.8</v>
      </c>
      <c r="H131" s="3">
        <v>2.1</v>
      </c>
      <c r="I131" s="18">
        <v>3.2</v>
      </c>
      <c r="J131" s="11">
        <v>4.5</v>
      </c>
      <c r="K131" s="3">
        <v>-1.4</v>
      </c>
      <c r="L131" s="11">
        <v>120.4</v>
      </c>
      <c r="M131" s="207">
        <f t="shared" ref="M131:M151" si="12">(_xlfn.PERCENTRANK.INC($L$2:$L$151,L131)*100)</f>
        <v>28.799999999999997</v>
      </c>
      <c r="N131" s="141">
        <v>112.6</v>
      </c>
      <c r="O131" s="207">
        <f t="shared" ref="O131:O151" si="13">100-(_xlfn.PERCENTRANK.INC($N$2:$N$151,N131)*100)</f>
        <v>16.200000000000003</v>
      </c>
      <c r="P131" s="110">
        <v>23.8</v>
      </c>
      <c r="Q131" s="3">
        <v>52.4</v>
      </c>
      <c r="R131" s="46">
        <v>58.7</v>
      </c>
      <c r="S131" s="3">
        <v>4.3</v>
      </c>
      <c r="T131" s="3">
        <v>10.199999999999999</v>
      </c>
      <c r="U131" s="3">
        <v>11.2</v>
      </c>
      <c r="V131" s="21">
        <v>11</v>
      </c>
      <c r="W131" s="3">
        <v>0.8</v>
      </c>
      <c r="X131" s="67">
        <v>1.3</v>
      </c>
      <c r="Y131" s="14">
        <v>39.4</v>
      </c>
      <c r="Z131" s="154">
        <v>3.8</v>
      </c>
      <c r="AA131" s="205">
        <v>88</v>
      </c>
      <c r="AB131" s="205">
        <v>49.3</v>
      </c>
      <c r="AC131" s="38">
        <v>9.1999999999999993</v>
      </c>
      <c r="AD131" s="205">
        <v>37.700000000000003</v>
      </c>
      <c r="AE131" s="205">
        <f t="shared" ref="AE131:AE151" si="14">(0.3*P131)+(0.25*R131)+(0.2*G131)+(0.15*U131)+(0.1*Y131)</f>
        <v>28.195000000000004</v>
      </c>
      <c r="AF131" s="205">
        <f t="shared" ref="AF131:AF151" si="15">((U131+G131)-V131)*_xlfn.PERCENTRANK.INC($V$2:$V$151,V131)</f>
        <v>1.18</v>
      </c>
      <c r="AG131" s="205">
        <f t="shared" ref="AG131:AG151" si="16">(0.35*I131)+(0.2*K131)+(0.15*O131)+(0.15+X131)+(0.15+W131)</f>
        <v>5.67</v>
      </c>
      <c r="AH131" s="205">
        <f t="shared" ref="AH131:AH151" si="17">(AE131*0.4)+(AF131*0.3)+(AG131*0.3)</f>
        <v>13.333000000000002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</row>
    <row r="132" spans="1:95" ht="15" thickBot="1" x14ac:dyDescent="0.35">
      <c r="A132" s="3" t="s">
        <v>21</v>
      </c>
      <c r="B132" s="207" t="s">
        <v>263</v>
      </c>
      <c r="C132" s="207" t="s">
        <v>264</v>
      </c>
      <c r="D132" s="207" t="s">
        <v>75</v>
      </c>
      <c r="E132" s="207">
        <v>22</v>
      </c>
      <c r="F132" s="3">
        <v>86.5</v>
      </c>
      <c r="G132" s="185">
        <v>3.8</v>
      </c>
      <c r="H132" s="19">
        <v>3.6</v>
      </c>
      <c r="I132" s="20">
        <v>4.5999999999999996</v>
      </c>
      <c r="J132" s="71">
        <v>3.5</v>
      </c>
      <c r="K132" s="3">
        <v>1.2</v>
      </c>
      <c r="L132" s="19">
        <v>118.5</v>
      </c>
      <c r="M132" s="207">
        <f t="shared" si="12"/>
        <v>20.100000000000001</v>
      </c>
      <c r="N132" s="3">
        <v>104.4</v>
      </c>
      <c r="O132" s="207">
        <f t="shared" si="13"/>
        <v>44.3</v>
      </c>
      <c r="P132" s="3">
        <v>22.7</v>
      </c>
      <c r="Q132" s="3">
        <v>53</v>
      </c>
      <c r="R132" s="34">
        <v>59</v>
      </c>
      <c r="S132" s="3">
        <v>6.2</v>
      </c>
      <c r="T132" s="58">
        <v>15.5</v>
      </c>
      <c r="U132" s="3">
        <v>11.5</v>
      </c>
      <c r="V132" s="61">
        <v>15</v>
      </c>
      <c r="W132" s="110">
        <v>3.5</v>
      </c>
      <c r="X132" s="3">
        <v>1.7</v>
      </c>
      <c r="Y132" s="14">
        <v>36.700000000000003</v>
      </c>
      <c r="Z132" s="14">
        <v>2.7</v>
      </c>
      <c r="AA132" s="205">
        <v>88.7</v>
      </c>
      <c r="AB132" s="205">
        <v>50.6</v>
      </c>
      <c r="AC132" s="14">
        <v>6.9</v>
      </c>
      <c r="AD132" s="205">
        <v>38.6</v>
      </c>
      <c r="AE132" s="205">
        <f t="shared" si="14"/>
        <v>27.715000000000003</v>
      </c>
      <c r="AF132" s="205">
        <f t="shared" si="15"/>
        <v>0.21330000000000049</v>
      </c>
      <c r="AG132" s="205">
        <f t="shared" si="16"/>
        <v>13.994999999999999</v>
      </c>
      <c r="AH132" s="205">
        <f t="shared" si="17"/>
        <v>15.348490000000002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</row>
    <row r="133" spans="1:95" ht="15" thickBot="1" x14ac:dyDescent="0.35">
      <c r="A133" s="3" t="s">
        <v>21</v>
      </c>
      <c r="B133" s="207" t="s">
        <v>265</v>
      </c>
      <c r="C133" s="207" t="s">
        <v>266</v>
      </c>
      <c r="D133" s="207" t="s">
        <v>30</v>
      </c>
      <c r="E133" s="207">
        <v>22</v>
      </c>
      <c r="F133" s="3">
        <v>74.2</v>
      </c>
      <c r="G133" s="185">
        <v>3.8</v>
      </c>
      <c r="H133" s="3">
        <v>2.5</v>
      </c>
      <c r="I133" s="19">
        <v>5.6</v>
      </c>
      <c r="J133" s="8">
        <v>5.9</v>
      </c>
      <c r="K133" s="3">
        <v>-0.3</v>
      </c>
      <c r="L133" s="11">
        <v>120.9</v>
      </c>
      <c r="M133" s="207">
        <f t="shared" si="12"/>
        <v>34.200000000000003</v>
      </c>
      <c r="N133" s="181">
        <v>109.4</v>
      </c>
      <c r="O133" s="207">
        <f t="shared" si="13"/>
        <v>26.200000000000003</v>
      </c>
      <c r="P133" s="110">
        <v>23.8</v>
      </c>
      <c r="Q133" s="50">
        <v>58.5</v>
      </c>
      <c r="R133" s="16">
        <v>60.1</v>
      </c>
      <c r="S133" s="85">
        <v>2.2000000000000002</v>
      </c>
      <c r="T133" s="3">
        <v>10.1</v>
      </c>
      <c r="U133" s="55">
        <v>20.3</v>
      </c>
      <c r="V133" s="59">
        <v>14.7</v>
      </c>
      <c r="W133" s="3">
        <v>1.1000000000000001</v>
      </c>
      <c r="X133" s="52">
        <v>1.2</v>
      </c>
      <c r="Y133" s="182">
        <v>11</v>
      </c>
      <c r="Z133" s="14">
        <v>3</v>
      </c>
      <c r="AA133" s="205">
        <v>87.1</v>
      </c>
      <c r="AB133" s="205">
        <v>50.4</v>
      </c>
      <c r="AC133" s="44">
        <v>14.5</v>
      </c>
      <c r="AD133" s="205">
        <v>42.8</v>
      </c>
      <c r="AE133" s="205">
        <f t="shared" si="14"/>
        <v>27.07</v>
      </c>
      <c r="AF133" s="205">
        <f t="shared" si="15"/>
        <v>6.3074000000000021</v>
      </c>
      <c r="AG133" s="205">
        <f t="shared" si="16"/>
        <v>8.43</v>
      </c>
      <c r="AH133" s="205">
        <f t="shared" si="17"/>
        <v>15.249220000000001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</row>
    <row r="134" spans="1:95" ht="15" thickBot="1" x14ac:dyDescent="0.35">
      <c r="A134" s="3" t="s">
        <v>21</v>
      </c>
      <c r="B134" s="207" t="s">
        <v>267</v>
      </c>
      <c r="C134" s="207" t="s">
        <v>258</v>
      </c>
      <c r="D134" s="207" t="s">
        <v>20</v>
      </c>
      <c r="E134" s="207">
        <v>22</v>
      </c>
      <c r="F134" s="3">
        <v>72.3</v>
      </c>
      <c r="G134" s="185">
        <v>3.8</v>
      </c>
      <c r="H134" s="50">
        <v>3.5</v>
      </c>
      <c r="I134" s="50">
        <v>5.0999999999999996</v>
      </c>
      <c r="J134" s="20">
        <v>3.2</v>
      </c>
      <c r="K134" s="41">
        <v>1.9</v>
      </c>
      <c r="L134" s="60">
        <v>118.1</v>
      </c>
      <c r="M134" s="207">
        <f t="shared" si="12"/>
        <v>17.399999999999999</v>
      </c>
      <c r="N134" s="3">
        <v>99.7</v>
      </c>
      <c r="O134" s="207">
        <f t="shared" si="13"/>
        <v>62.5</v>
      </c>
      <c r="P134" s="18">
        <v>24.6</v>
      </c>
      <c r="Q134" s="11">
        <v>60.9</v>
      </c>
      <c r="R134" s="7">
        <v>64.099999999999994</v>
      </c>
      <c r="S134" s="42">
        <v>9.3000000000000007</v>
      </c>
      <c r="T134" s="3">
        <v>14.6</v>
      </c>
      <c r="U134" s="3">
        <v>12.6</v>
      </c>
      <c r="V134" s="3">
        <v>16.399999999999999</v>
      </c>
      <c r="W134" s="3">
        <v>1.7</v>
      </c>
      <c r="X134" s="3">
        <v>1.6</v>
      </c>
      <c r="Y134" s="15">
        <v>103.8</v>
      </c>
      <c r="Z134" s="186">
        <v>4.5999999999999996</v>
      </c>
      <c r="AA134" s="205">
        <v>67</v>
      </c>
      <c r="AB134" s="205">
        <v>61.199999999999996</v>
      </c>
      <c r="AC134" s="135">
        <v>0.1</v>
      </c>
      <c r="AD134" s="205">
        <v>0</v>
      </c>
      <c r="AE134" s="205">
        <f t="shared" si="14"/>
        <v>36.435000000000002</v>
      </c>
      <c r="AF134" s="205">
        <f t="shared" si="15"/>
        <v>0</v>
      </c>
      <c r="AG134" s="205">
        <f t="shared" si="16"/>
        <v>15.139999999999999</v>
      </c>
      <c r="AH134" s="205">
        <f t="shared" si="17"/>
        <v>19.116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</row>
    <row r="135" spans="1:95" ht="15" thickBot="1" x14ac:dyDescent="0.35">
      <c r="A135" s="3" t="s">
        <v>41</v>
      </c>
      <c r="B135" s="207" t="s">
        <v>268</v>
      </c>
      <c r="C135" s="207" t="s">
        <v>266</v>
      </c>
      <c r="D135" s="207" t="s">
        <v>30</v>
      </c>
      <c r="E135" s="207">
        <v>22</v>
      </c>
      <c r="F135" s="3">
        <v>80</v>
      </c>
      <c r="G135" s="185">
        <v>3.8</v>
      </c>
      <c r="H135" s="110">
        <v>2.9</v>
      </c>
      <c r="I135" s="63">
        <v>3.9</v>
      </c>
      <c r="J135" s="71">
        <v>3.4</v>
      </c>
      <c r="K135" s="3">
        <v>0.5</v>
      </c>
      <c r="L135" s="9">
        <v>119.4</v>
      </c>
      <c r="M135" s="207">
        <f t="shared" si="12"/>
        <v>24.099999999999998</v>
      </c>
      <c r="N135" s="106">
        <v>108</v>
      </c>
      <c r="O135" s="207">
        <f t="shared" si="13"/>
        <v>29.600000000000009</v>
      </c>
      <c r="P135" s="105">
        <v>23</v>
      </c>
      <c r="Q135" s="105">
        <v>53.6</v>
      </c>
      <c r="R135" s="46">
        <v>58.8</v>
      </c>
      <c r="S135" s="65">
        <v>1.9</v>
      </c>
      <c r="T135" s="86">
        <v>9.1999999999999993</v>
      </c>
      <c r="U135" s="76">
        <v>18.3</v>
      </c>
      <c r="V135" s="103">
        <v>14.4</v>
      </c>
      <c r="W135" s="3">
        <v>0.8</v>
      </c>
      <c r="X135" s="3">
        <v>2.2000000000000002</v>
      </c>
      <c r="Y135" s="14">
        <v>29.7</v>
      </c>
      <c r="Z135" s="23">
        <v>2.4</v>
      </c>
      <c r="AA135" s="205">
        <v>91.100000000000009</v>
      </c>
      <c r="AB135" s="205">
        <v>56.100000000000009</v>
      </c>
      <c r="AC135" s="130">
        <v>9</v>
      </c>
      <c r="AD135" s="205">
        <v>33.300000000000004</v>
      </c>
      <c r="AE135" s="205">
        <f t="shared" si="14"/>
        <v>28.074999999999999</v>
      </c>
      <c r="AF135" s="205">
        <f t="shared" si="15"/>
        <v>5.0589000000000013</v>
      </c>
      <c r="AG135" s="205">
        <f t="shared" si="16"/>
        <v>9.2050000000000001</v>
      </c>
      <c r="AH135" s="205">
        <f t="shared" si="17"/>
        <v>15.509170000000001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</row>
    <row r="136" spans="1:95" ht="15" thickBot="1" x14ac:dyDescent="0.35">
      <c r="A136" s="3" t="s">
        <v>14</v>
      </c>
      <c r="B136" s="207" t="s">
        <v>269</v>
      </c>
      <c r="C136" s="207" t="s">
        <v>270</v>
      </c>
      <c r="D136" s="207" t="s">
        <v>106</v>
      </c>
      <c r="E136" s="207">
        <v>21</v>
      </c>
      <c r="F136" s="3">
        <v>73.2</v>
      </c>
      <c r="G136" s="185">
        <v>3.8</v>
      </c>
      <c r="H136" s="20">
        <v>3.3</v>
      </c>
      <c r="I136" s="11">
        <v>6.6</v>
      </c>
      <c r="J136" s="8">
        <v>5.5</v>
      </c>
      <c r="K136" s="3">
        <v>1.1000000000000001</v>
      </c>
      <c r="L136" s="6">
        <v>126.9</v>
      </c>
      <c r="M136" s="207">
        <f t="shared" si="12"/>
        <v>66.400000000000006</v>
      </c>
      <c r="N136" s="3">
        <v>101.2</v>
      </c>
      <c r="O136" s="207">
        <f t="shared" si="13"/>
        <v>54.4</v>
      </c>
      <c r="P136" s="3">
        <v>19.899999999999999</v>
      </c>
      <c r="Q136" s="7">
        <v>61.2</v>
      </c>
      <c r="R136" s="9">
        <v>62.7</v>
      </c>
      <c r="S136" s="85">
        <v>2.2000000000000002</v>
      </c>
      <c r="T136" s="3">
        <v>9.9</v>
      </c>
      <c r="U136" s="3">
        <v>10.8</v>
      </c>
      <c r="V136" s="94">
        <v>7.8</v>
      </c>
      <c r="W136" s="67">
        <v>0.2</v>
      </c>
      <c r="X136" s="43">
        <v>1.4</v>
      </c>
      <c r="Y136" s="155">
        <v>20.6</v>
      </c>
      <c r="Z136" s="92">
        <v>2.2000000000000002</v>
      </c>
      <c r="AA136" s="205">
        <v>75</v>
      </c>
      <c r="AB136" s="205">
        <v>57.099999999999994</v>
      </c>
      <c r="AC136" s="77">
        <v>13.6</v>
      </c>
      <c r="AD136" s="205">
        <v>42.3</v>
      </c>
      <c r="AE136" s="205">
        <f t="shared" si="14"/>
        <v>26.085000000000001</v>
      </c>
      <c r="AF136" s="205">
        <f t="shared" si="15"/>
        <v>0.49640000000000006</v>
      </c>
      <c r="AG136" s="205">
        <f t="shared" si="16"/>
        <v>12.589999999999998</v>
      </c>
      <c r="AH136" s="205">
        <f t="shared" si="17"/>
        <v>14.359920000000001</v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</row>
    <row r="137" spans="1:95" ht="15" thickBot="1" x14ac:dyDescent="0.35">
      <c r="A137" s="3" t="s">
        <v>24</v>
      </c>
      <c r="B137" s="207" t="s">
        <v>271</v>
      </c>
      <c r="C137" s="207" t="s">
        <v>272</v>
      </c>
      <c r="D137" s="207" t="s">
        <v>241</v>
      </c>
      <c r="E137" s="207">
        <v>20</v>
      </c>
      <c r="F137" s="3">
        <v>74.099999999999994</v>
      </c>
      <c r="G137" s="185">
        <v>3.8</v>
      </c>
      <c r="H137" s="3">
        <v>2.2000000000000002</v>
      </c>
      <c r="I137" s="16">
        <v>4.2</v>
      </c>
      <c r="J137" s="7">
        <v>5.2</v>
      </c>
      <c r="K137" s="3">
        <v>-1</v>
      </c>
      <c r="L137" s="71">
        <v>116.2</v>
      </c>
      <c r="M137" s="207">
        <f t="shared" si="12"/>
        <v>9.3000000000000007</v>
      </c>
      <c r="N137" s="172">
        <v>113.3</v>
      </c>
      <c r="O137" s="207">
        <f t="shared" si="13"/>
        <v>12.799999999999997</v>
      </c>
      <c r="P137" s="9">
        <v>27.6</v>
      </c>
      <c r="Q137" s="76">
        <v>53.3</v>
      </c>
      <c r="R137" s="71">
        <v>60.7</v>
      </c>
      <c r="S137" s="3">
        <v>4.2</v>
      </c>
      <c r="T137" s="41">
        <v>16.600000000000001</v>
      </c>
      <c r="U137" s="3">
        <v>15</v>
      </c>
      <c r="V137" s="17">
        <v>16.100000000000001</v>
      </c>
      <c r="W137" s="3">
        <v>0.7</v>
      </c>
      <c r="X137" s="3">
        <v>1.8</v>
      </c>
      <c r="Y137" s="38">
        <v>51.3</v>
      </c>
      <c r="Z137" s="14">
        <v>2.8</v>
      </c>
      <c r="AA137" s="205">
        <v>86.4</v>
      </c>
      <c r="AB137" s="205">
        <v>52.400000000000006</v>
      </c>
      <c r="AC137" s="45">
        <v>12.3</v>
      </c>
      <c r="AD137" s="205">
        <v>36.1</v>
      </c>
      <c r="AE137" s="205">
        <f t="shared" si="14"/>
        <v>31.594999999999999</v>
      </c>
      <c r="AF137" s="205">
        <f t="shared" si="15"/>
        <v>2.1005999999999996</v>
      </c>
      <c r="AG137" s="205">
        <f t="shared" si="16"/>
        <v>5.9899999999999993</v>
      </c>
      <c r="AH137" s="205">
        <f t="shared" si="17"/>
        <v>15.065179999999998</v>
      </c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</row>
    <row r="138" spans="1:95" ht="15" thickBot="1" x14ac:dyDescent="0.35">
      <c r="A138" s="3" t="s">
        <v>24</v>
      </c>
      <c r="B138" s="207" t="s">
        <v>273</v>
      </c>
      <c r="C138" s="207" t="s">
        <v>274</v>
      </c>
      <c r="D138" s="207" t="s">
        <v>30</v>
      </c>
      <c r="E138" s="207">
        <v>21</v>
      </c>
      <c r="F138" s="3">
        <v>62.1</v>
      </c>
      <c r="G138" s="185">
        <v>3.8</v>
      </c>
      <c r="H138" s="3">
        <v>2.5</v>
      </c>
      <c r="I138" s="8">
        <v>7.9</v>
      </c>
      <c r="J138" s="6">
        <v>6.9</v>
      </c>
      <c r="K138" s="3">
        <v>0.9</v>
      </c>
      <c r="L138" s="5">
        <v>143.4</v>
      </c>
      <c r="M138" s="207">
        <f t="shared" si="12"/>
        <v>97.899999999999991</v>
      </c>
      <c r="N138" s="3">
        <v>105</v>
      </c>
      <c r="O138" s="207">
        <f t="shared" si="13"/>
        <v>41</v>
      </c>
      <c r="P138" s="65">
        <v>15.8</v>
      </c>
      <c r="Q138" s="6">
        <v>64</v>
      </c>
      <c r="R138" s="6">
        <v>67.5</v>
      </c>
      <c r="S138" s="37">
        <v>1.7</v>
      </c>
      <c r="T138" s="67">
        <v>8.8000000000000007</v>
      </c>
      <c r="U138" s="3">
        <v>9.6999999999999993</v>
      </c>
      <c r="V138" s="5">
        <v>3.8</v>
      </c>
      <c r="W138" s="3">
        <v>0.8</v>
      </c>
      <c r="X138" s="37">
        <v>1.1000000000000001</v>
      </c>
      <c r="Y138" s="132">
        <v>27</v>
      </c>
      <c r="Z138" s="120">
        <v>2</v>
      </c>
      <c r="AA138" s="205">
        <v>89.600000000000009</v>
      </c>
      <c r="AB138" s="205">
        <v>57.099999999999994</v>
      </c>
      <c r="AC138" s="33">
        <v>15.9</v>
      </c>
      <c r="AD138" s="205">
        <v>43.3</v>
      </c>
      <c r="AE138" s="205">
        <f t="shared" si="14"/>
        <v>26.53</v>
      </c>
      <c r="AF138" s="205">
        <f t="shared" si="15"/>
        <v>5.8199999999999995E-2</v>
      </c>
      <c r="AG138" s="205">
        <f t="shared" si="16"/>
        <v>11.294999999999998</v>
      </c>
      <c r="AH138" s="205">
        <f t="shared" si="17"/>
        <v>14.01796</v>
      </c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 spans="1:95" ht="15" thickBot="1" x14ac:dyDescent="0.35">
      <c r="A139" s="3" t="s">
        <v>21</v>
      </c>
      <c r="B139" s="207" t="s">
        <v>275</v>
      </c>
      <c r="C139" s="207" t="s">
        <v>276</v>
      </c>
      <c r="D139" s="207" t="s">
        <v>277</v>
      </c>
      <c r="E139" s="207">
        <v>21</v>
      </c>
      <c r="F139" s="3">
        <v>77</v>
      </c>
      <c r="G139" s="185">
        <v>3.8</v>
      </c>
      <c r="H139" s="3">
        <v>2.7</v>
      </c>
      <c r="I139" s="71">
        <v>4.8</v>
      </c>
      <c r="J139" s="19">
        <v>4.0999999999999996</v>
      </c>
      <c r="K139" s="3">
        <v>0.6</v>
      </c>
      <c r="L139" s="6">
        <v>125.7</v>
      </c>
      <c r="M139" s="207">
        <f t="shared" si="12"/>
        <v>60.4</v>
      </c>
      <c r="N139" s="117">
        <v>109.7</v>
      </c>
      <c r="O139" s="207">
        <f t="shared" si="13"/>
        <v>24.900000000000006</v>
      </c>
      <c r="P139" s="3">
        <v>21.5</v>
      </c>
      <c r="Q139" s="7">
        <v>61.1</v>
      </c>
      <c r="R139" s="8">
        <v>64.599999999999994</v>
      </c>
      <c r="S139" s="3">
        <v>4.9000000000000004</v>
      </c>
      <c r="T139" s="3">
        <v>13.6</v>
      </c>
      <c r="U139" s="3">
        <v>14.3</v>
      </c>
      <c r="V139" s="108">
        <v>14.8</v>
      </c>
      <c r="W139" s="3">
        <v>2.7</v>
      </c>
      <c r="X139" s="3">
        <v>2</v>
      </c>
      <c r="Y139" s="14">
        <v>46.2</v>
      </c>
      <c r="Z139" s="14">
        <v>3.4</v>
      </c>
      <c r="AA139" s="205">
        <v>76.5</v>
      </c>
      <c r="AB139" s="205">
        <v>56.499999999999993</v>
      </c>
      <c r="AC139" s="14">
        <v>7</v>
      </c>
      <c r="AD139" s="205">
        <v>45.800000000000004</v>
      </c>
      <c r="AE139" s="205">
        <f t="shared" si="14"/>
        <v>30.125</v>
      </c>
      <c r="AF139" s="205">
        <f t="shared" si="15"/>
        <v>2.2803000000000004</v>
      </c>
      <c r="AG139" s="205">
        <f t="shared" si="16"/>
        <v>10.535</v>
      </c>
      <c r="AH139" s="205">
        <f t="shared" si="17"/>
        <v>15.894590000000001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 spans="1:95" ht="15" thickBot="1" x14ac:dyDescent="0.35">
      <c r="A140" s="3" t="s">
        <v>24</v>
      </c>
      <c r="B140" s="207" t="s">
        <v>278</v>
      </c>
      <c r="C140" s="207" t="s">
        <v>279</v>
      </c>
      <c r="D140" s="207" t="s">
        <v>280</v>
      </c>
      <c r="E140" s="207">
        <v>16</v>
      </c>
      <c r="F140" s="3">
        <v>64.3</v>
      </c>
      <c r="G140" s="185">
        <v>3.8</v>
      </c>
      <c r="H140" s="18">
        <v>3</v>
      </c>
      <c r="I140" s="60">
        <v>5.4</v>
      </c>
      <c r="J140" s="9">
        <v>4.5</v>
      </c>
      <c r="K140" s="3">
        <v>0.9</v>
      </c>
      <c r="L140" s="8">
        <v>123.6</v>
      </c>
      <c r="M140" s="207">
        <f t="shared" si="12"/>
        <v>46.300000000000004</v>
      </c>
      <c r="N140" s="106">
        <v>108.1</v>
      </c>
      <c r="O140" s="207">
        <f t="shared" si="13"/>
        <v>28.900000000000006</v>
      </c>
      <c r="P140" s="3">
        <v>22</v>
      </c>
      <c r="Q140" s="8">
        <v>62.2</v>
      </c>
      <c r="R140" s="11">
        <v>63.2</v>
      </c>
      <c r="S140" s="60">
        <v>10.6</v>
      </c>
      <c r="T140" s="3">
        <v>15</v>
      </c>
      <c r="U140" s="3">
        <v>17.3</v>
      </c>
      <c r="V140" s="10">
        <v>13.1</v>
      </c>
      <c r="W140" s="3">
        <v>2.2999999999999998</v>
      </c>
      <c r="X140" s="76">
        <v>2.4</v>
      </c>
      <c r="Y140" s="32">
        <v>58.7</v>
      </c>
      <c r="Z140" s="14">
        <v>3.3</v>
      </c>
      <c r="AA140" s="205">
        <v>63.4</v>
      </c>
      <c r="AB140" s="205">
        <v>63.3</v>
      </c>
      <c r="AC140" s="135">
        <v>0.3</v>
      </c>
      <c r="AD140" s="205">
        <v>0</v>
      </c>
      <c r="AE140" s="205">
        <f t="shared" si="14"/>
        <v>31.625</v>
      </c>
      <c r="AF140" s="205">
        <f t="shared" si="15"/>
        <v>4.128000000000001</v>
      </c>
      <c r="AG140" s="205">
        <f t="shared" si="16"/>
        <v>11.405000000000001</v>
      </c>
      <c r="AH140" s="205">
        <f t="shared" si="17"/>
        <v>17.309900000000003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 spans="1:95" ht="15" thickBot="1" x14ac:dyDescent="0.35">
      <c r="A141" s="3" t="s">
        <v>41</v>
      </c>
      <c r="B141" s="207" t="s">
        <v>281</v>
      </c>
      <c r="C141" s="207" t="s">
        <v>230</v>
      </c>
      <c r="D141" s="207" t="s">
        <v>166</v>
      </c>
      <c r="E141" s="207">
        <v>22</v>
      </c>
      <c r="F141" s="3">
        <v>65.099999999999994</v>
      </c>
      <c r="G141" s="185">
        <v>3.8</v>
      </c>
      <c r="H141" s="16">
        <v>3.3</v>
      </c>
      <c r="I141" s="6">
        <v>9.3000000000000007</v>
      </c>
      <c r="J141" s="6">
        <v>6.5</v>
      </c>
      <c r="K141" s="20">
        <v>2.8</v>
      </c>
      <c r="L141" s="6">
        <v>128.1</v>
      </c>
      <c r="M141" s="207">
        <f t="shared" si="12"/>
        <v>71.099999999999994</v>
      </c>
      <c r="N141" s="121">
        <v>97.6</v>
      </c>
      <c r="O141" s="207">
        <f t="shared" si="13"/>
        <v>71.900000000000006</v>
      </c>
      <c r="P141" s="3">
        <v>22.4</v>
      </c>
      <c r="Q141" s="8">
        <v>62.5</v>
      </c>
      <c r="R141" s="6">
        <v>66</v>
      </c>
      <c r="S141" s="54">
        <v>3.2</v>
      </c>
      <c r="T141" s="3">
        <v>14.2</v>
      </c>
      <c r="U141" s="19">
        <v>25.7</v>
      </c>
      <c r="V141" s="3">
        <v>18</v>
      </c>
      <c r="W141" s="3">
        <v>1.3</v>
      </c>
      <c r="X141" s="3">
        <v>1.5</v>
      </c>
      <c r="Y141" s="12">
        <v>47.7</v>
      </c>
      <c r="Z141" s="87">
        <v>2.6</v>
      </c>
      <c r="AA141" s="205">
        <v>77.400000000000006</v>
      </c>
      <c r="AB141" s="205">
        <v>61</v>
      </c>
      <c r="AC141" s="130">
        <v>9</v>
      </c>
      <c r="AD141" s="205">
        <v>42.6</v>
      </c>
      <c r="AE141" s="205">
        <f t="shared" si="14"/>
        <v>32.605000000000004</v>
      </c>
      <c r="AF141" s="205">
        <f t="shared" si="15"/>
        <v>10.649000000000001</v>
      </c>
      <c r="AG141" s="205">
        <f t="shared" si="16"/>
        <v>17.7</v>
      </c>
      <c r="AH141" s="205">
        <f t="shared" si="17"/>
        <v>21.546700000000001</v>
      </c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 spans="1:95" ht="15" thickBot="1" x14ac:dyDescent="0.35">
      <c r="A142" s="3" t="s">
        <v>21</v>
      </c>
      <c r="B142" s="207" t="s">
        <v>282</v>
      </c>
      <c r="C142" s="207" t="s">
        <v>283</v>
      </c>
      <c r="D142" s="207" t="s">
        <v>214</v>
      </c>
      <c r="E142" s="207">
        <v>21</v>
      </c>
      <c r="F142" s="3">
        <v>68.2</v>
      </c>
      <c r="G142" s="185">
        <v>3.7</v>
      </c>
      <c r="H142" s="3">
        <v>2.5</v>
      </c>
      <c r="I142" s="27">
        <v>4</v>
      </c>
      <c r="J142" s="7">
        <v>4.9000000000000004</v>
      </c>
      <c r="K142" s="3">
        <v>-0.9</v>
      </c>
      <c r="L142" s="6">
        <v>128.4</v>
      </c>
      <c r="M142" s="207">
        <f t="shared" si="12"/>
        <v>74.400000000000006</v>
      </c>
      <c r="N142" s="106">
        <v>108.1</v>
      </c>
      <c r="O142" s="207">
        <f t="shared" si="13"/>
        <v>28.900000000000006</v>
      </c>
      <c r="P142" s="35">
        <v>24.3</v>
      </c>
      <c r="Q142" s="11">
        <v>60.9</v>
      </c>
      <c r="R142" s="8">
        <v>64.8</v>
      </c>
      <c r="S142" s="71">
        <v>10.3</v>
      </c>
      <c r="T142" s="41">
        <v>16.600000000000001</v>
      </c>
      <c r="U142" s="3">
        <v>9.9</v>
      </c>
      <c r="V142" s="21">
        <v>11.3</v>
      </c>
      <c r="W142" s="3">
        <v>0.6</v>
      </c>
      <c r="X142" s="29">
        <v>2.5</v>
      </c>
      <c r="Y142" s="45">
        <v>63.6</v>
      </c>
      <c r="Z142" s="129">
        <v>3.6</v>
      </c>
      <c r="AA142" s="205">
        <v>73.8</v>
      </c>
      <c r="AB142" s="205">
        <v>63.1</v>
      </c>
      <c r="AC142" s="14">
        <v>3.7</v>
      </c>
      <c r="AD142" s="205">
        <v>34.200000000000003</v>
      </c>
      <c r="AE142" s="205">
        <f t="shared" si="14"/>
        <v>32.074999999999996</v>
      </c>
      <c r="AF142" s="205">
        <f t="shared" si="15"/>
        <v>0.75440000000000029</v>
      </c>
      <c r="AG142" s="205">
        <f t="shared" si="16"/>
        <v>8.9550000000000001</v>
      </c>
      <c r="AH142" s="205">
        <f t="shared" si="17"/>
        <v>15.742819999999998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 spans="1:95" ht="15" thickBot="1" x14ac:dyDescent="0.35">
      <c r="A143" s="3" t="s">
        <v>24</v>
      </c>
      <c r="B143" s="207" t="s">
        <v>284</v>
      </c>
      <c r="C143" s="207" t="s">
        <v>285</v>
      </c>
      <c r="D143" s="207" t="s">
        <v>286</v>
      </c>
      <c r="E143" s="207">
        <v>23</v>
      </c>
      <c r="F143" s="3">
        <v>72.400000000000006</v>
      </c>
      <c r="G143" s="185">
        <v>3.7</v>
      </c>
      <c r="H143" s="71">
        <v>3.4</v>
      </c>
      <c r="I143" s="6">
        <v>8.6</v>
      </c>
      <c r="J143" s="7">
        <v>4.9000000000000004</v>
      </c>
      <c r="K143" s="9">
        <v>3.8</v>
      </c>
      <c r="L143" s="19">
        <v>118.4</v>
      </c>
      <c r="M143" s="207">
        <f t="shared" si="12"/>
        <v>19.400000000000002</v>
      </c>
      <c r="N143" s="3">
        <v>100.7</v>
      </c>
      <c r="O143" s="207">
        <f t="shared" si="13"/>
        <v>59.1</v>
      </c>
      <c r="P143" s="19">
        <v>27.4</v>
      </c>
      <c r="Q143" s="3">
        <v>48.9</v>
      </c>
      <c r="R143" s="3">
        <v>55.8</v>
      </c>
      <c r="S143" s="3">
        <v>4.2</v>
      </c>
      <c r="T143" s="3">
        <v>12.6</v>
      </c>
      <c r="U143" s="60">
        <v>25.4</v>
      </c>
      <c r="V143" s="30">
        <v>9.4</v>
      </c>
      <c r="W143" s="67">
        <v>0.2</v>
      </c>
      <c r="X143" s="5">
        <v>5.4</v>
      </c>
      <c r="Y143" s="22">
        <v>56.3</v>
      </c>
      <c r="Z143" s="14">
        <v>2.9</v>
      </c>
      <c r="AA143" s="205">
        <v>77.7</v>
      </c>
      <c r="AB143" s="205">
        <v>45.1</v>
      </c>
      <c r="AC143" s="14">
        <v>7.5</v>
      </c>
      <c r="AD143" s="205">
        <v>37.5</v>
      </c>
      <c r="AE143" s="205">
        <f t="shared" si="14"/>
        <v>32.349999999999994</v>
      </c>
      <c r="AF143" s="205">
        <f t="shared" si="15"/>
        <v>3.6838999999999991</v>
      </c>
      <c r="AG143" s="205">
        <f t="shared" si="16"/>
        <v>18.535000000000004</v>
      </c>
      <c r="AH143" s="205">
        <f t="shared" si="17"/>
        <v>19.605669999999996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 spans="1:95" ht="15" thickBot="1" x14ac:dyDescent="0.35">
      <c r="A144" s="3" t="s">
        <v>21</v>
      </c>
      <c r="B144" s="207" t="s">
        <v>287</v>
      </c>
      <c r="C144" s="207" t="s">
        <v>288</v>
      </c>
      <c r="D144" s="207" t="s">
        <v>110</v>
      </c>
      <c r="E144" s="207">
        <v>21</v>
      </c>
      <c r="F144" s="3">
        <v>69.8</v>
      </c>
      <c r="G144" s="187">
        <v>3.7</v>
      </c>
      <c r="H144" s="3">
        <v>2</v>
      </c>
      <c r="I144" s="41">
        <v>2.9</v>
      </c>
      <c r="J144" s="11">
        <v>4.5999999999999996</v>
      </c>
      <c r="K144" s="28">
        <v>-1.7</v>
      </c>
      <c r="L144" s="16">
        <v>115.2</v>
      </c>
      <c r="M144" s="207">
        <f t="shared" si="12"/>
        <v>8</v>
      </c>
      <c r="N144" s="172">
        <v>113.2</v>
      </c>
      <c r="O144" s="207">
        <f t="shared" si="13"/>
        <v>13.5</v>
      </c>
      <c r="P144" s="5">
        <v>33.4</v>
      </c>
      <c r="Q144" s="29">
        <v>54.1</v>
      </c>
      <c r="R144" s="41">
        <v>58.2</v>
      </c>
      <c r="S144" s="110">
        <v>8.1999999999999993</v>
      </c>
      <c r="T144" s="16">
        <v>18.3</v>
      </c>
      <c r="U144" s="3">
        <v>12.8</v>
      </c>
      <c r="V144" s="66">
        <v>12.6</v>
      </c>
      <c r="W144" s="3">
        <v>1.2</v>
      </c>
      <c r="X144" s="3">
        <v>2.2000000000000002</v>
      </c>
      <c r="Y144" s="26">
        <v>58.2</v>
      </c>
      <c r="Z144" s="14">
        <v>3</v>
      </c>
      <c r="AA144" s="205">
        <v>69.399999999999991</v>
      </c>
      <c r="AB144" s="205">
        <v>59</v>
      </c>
      <c r="AC144" s="14">
        <v>7.3</v>
      </c>
      <c r="AD144" s="205">
        <v>26.700000000000003</v>
      </c>
      <c r="AE144" s="205">
        <f t="shared" si="14"/>
        <v>33.049999999999997</v>
      </c>
      <c r="AF144" s="205">
        <f t="shared" si="15"/>
        <v>1.7511000000000001</v>
      </c>
      <c r="AG144" s="205">
        <f t="shared" si="16"/>
        <v>6.3999999999999995</v>
      </c>
      <c r="AH144" s="205">
        <f t="shared" si="17"/>
        <v>15.665329999999999</v>
      </c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 spans="1:95" ht="15" thickBot="1" x14ac:dyDescent="0.35">
      <c r="A145" s="3" t="s">
        <v>24</v>
      </c>
      <c r="B145" s="207" t="s">
        <v>289</v>
      </c>
      <c r="C145" s="207" t="s">
        <v>290</v>
      </c>
      <c r="D145" s="207" t="s">
        <v>106</v>
      </c>
      <c r="E145" s="207">
        <v>16</v>
      </c>
      <c r="F145" s="3">
        <v>49.1</v>
      </c>
      <c r="G145" s="187">
        <v>3.7</v>
      </c>
      <c r="H145" s="3">
        <v>2.4</v>
      </c>
      <c r="I145" s="7">
        <v>7.1</v>
      </c>
      <c r="J145" s="8">
        <v>5.8</v>
      </c>
      <c r="K145" s="76">
        <v>1.3</v>
      </c>
      <c r="L145" s="6">
        <v>128.5</v>
      </c>
      <c r="M145" s="207">
        <f t="shared" si="12"/>
        <v>75.8</v>
      </c>
      <c r="N145" s="3">
        <v>107.5</v>
      </c>
      <c r="O145" s="207">
        <f t="shared" si="13"/>
        <v>31.599999999999994</v>
      </c>
      <c r="P145" s="3">
        <v>22.7</v>
      </c>
      <c r="Q145" s="5">
        <v>66.400000000000006</v>
      </c>
      <c r="R145" s="5">
        <v>69.5</v>
      </c>
      <c r="S145" s="3">
        <v>6</v>
      </c>
      <c r="T145" s="34">
        <v>17.399999999999999</v>
      </c>
      <c r="U145" s="84">
        <v>19.2</v>
      </c>
      <c r="V145" s="3">
        <v>17.399999999999999</v>
      </c>
      <c r="W145" s="3">
        <v>2.2999999999999998</v>
      </c>
      <c r="X145" s="3">
        <v>2</v>
      </c>
      <c r="Y145" s="14">
        <v>39.200000000000003</v>
      </c>
      <c r="Z145" s="14">
        <v>3.4</v>
      </c>
      <c r="AA145" s="205">
        <v>81.599999999999994</v>
      </c>
      <c r="AB145" s="205">
        <v>63.800000000000004</v>
      </c>
      <c r="AC145" s="25">
        <v>8.5</v>
      </c>
      <c r="AD145" s="205">
        <v>46.400000000000006</v>
      </c>
      <c r="AE145" s="205">
        <f t="shared" si="14"/>
        <v>31.724999999999998</v>
      </c>
      <c r="AF145" s="205">
        <f t="shared" si="15"/>
        <v>4.8674999999999997</v>
      </c>
      <c r="AG145" s="205">
        <f t="shared" si="16"/>
        <v>12.084999999999999</v>
      </c>
      <c r="AH145" s="205">
        <f t="shared" si="17"/>
        <v>17.775749999999999</v>
      </c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</row>
    <row r="146" spans="1:95" ht="15" thickBot="1" x14ac:dyDescent="0.35">
      <c r="A146" s="3" t="s">
        <v>21</v>
      </c>
      <c r="B146" s="207" t="s">
        <v>291</v>
      </c>
      <c r="C146" s="207" t="s">
        <v>262</v>
      </c>
      <c r="D146" s="207" t="s">
        <v>152</v>
      </c>
      <c r="E146" s="207">
        <v>16</v>
      </c>
      <c r="F146" s="3">
        <v>48.7</v>
      </c>
      <c r="G146" s="187">
        <v>3.7</v>
      </c>
      <c r="H146" s="3">
        <v>2</v>
      </c>
      <c r="I146" s="20">
        <v>4.5</v>
      </c>
      <c r="J146" s="7">
        <v>5.2</v>
      </c>
      <c r="K146" s="3">
        <v>-0.7</v>
      </c>
      <c r="L146" s="50">
        <v>116.9</v>
      </c>
      <c r="M146" s="207">
        <f t="shared" si="12"/>
        <v>12.7</v>
      </c>
      <c r="N146" s="172">
        <v>112.9</v>
      </c>
      <c r="O146" s="207">
        <f t="shared" si="13"/>
        <v>15.5</v>
      </c>
      <c r="P146" s="9">
        <v>27.6</v>
      </c>
      <c r="Q146" s="3">
        <v>51.4</v>
      </c>
      <c r="R146" s="3">
        <v>56</v>
      </c>
      <c r="S146" s="111">
        <v>0.8</v>
      </c>
      <c r="T146" s="3">
        <v>10.199999999999999</v>
      </c>
      <c r="U146" s="63">
        <v>22.5</v>
      </c>
      <c r="V146" s="99">
        <v>10.8</v>
      </c>
      <c r="W146" s="67">
        <v>0.2</v>
      </c>
      <c r="X146" s="3">
        <v>2.1</v>
      </c>
      <c r="Y146" s="14">
        <v>35.700000000000003</v>
      </c>
      <c r="Z146" s="142">
        <v>2.5</v>
      </c>
      <c r="AA146" s="205">
        <v>78.7</v>
      </c>
      <c r="AB146" s="205">
        <v>49.5</v>
      </c>
      <c r="AC146" s="88">
        <v>12.5</v>
      </c>
      <c r="AD146" s="205">
        <v>35.6</v>
      </c>
      <c r="AE146" s="205">
        <f t="shared" si="14"/>
        <v>29.965</v>
      </c>
      <c r="AF146" s="205">
        <f t="shared" si="15"/>
        <v>4.4351999999999991</v>
      </c>
      <c r="AG146" s="205">
        <f t="shared" si="16"/>
        <v>6.3599999999999994</v>
      </c>
      <c r="AH146" s="205">
        <f t="shared" si="17"/>
        <v>15.22456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</row>
    <row r="147" spans="1:95" ht="15" thickBot="1" x14ac:dyDescent="0.35">
      <c r="A147" s="3" t="s">
        <v>14</v>
      </c>
      <c r="B147" s="207" t="s">
        <v>292</v>
      </c>
      <c r="C147" s="207" t="s">
        <v>38</v>
      </c>
      <c r="D147" s="207" t="s">
        <v>30</v>
      </c>
      <c r="E147" s="207">
        <v>22</v>
      </c>
      <c r="F147" s="3">
        <v>67.900000000000006</v>
      </c>
      <c r="G147" s="187">
        <v>3.7</v>
      </c>
      <c r="H147" s="18">
        <v>3.1</v>
      </c>
      <c r="I147" s="9">
        <v>6.3</v>
      </c>
      <c r="J147" s="7">
        <v>4.9000000000000004</v>
      </c>
      <c r="K147" s="58">
        <v>1.4</v>
      </c>
      <c r="L147" s="11">
        <v>120.4</v>
      </c>
      <c r="M147" s="207">
        <f t="shared" si="12"/>
        <v>28.799999999999997</v>
      </c>
      <c r="N147" s="3">
        <v>101.7</v>
      </c>
      <c r="O147" s="207">
        <f t="shared" si="13"/>
        <v>53.699999999999996</v>
      </c>
      <c r="P147" s="55">
        <v>24</v>
      </c>
      <c r="Q147" s="3">
        <v>51.7</v>
      </c>
      <c r="R147" s="3">
        <v>55</v>
      </c>
      <c r="S147" s="3">
        <v>4</v>
      </c>
      <c r="T147" s="3">
        <v>10.1</v>
      </c>
      <c r="U147" s="3">
        <v>17</v>
      </c>
      <c r="V147" s="125">
        <v>8.1</v>
      </c>
      <c r="W147" s="43">
        <v>0.4</v>
      </c>
      <c r="X147" s="27">
        <v>2.9</v>
      </c>
      <c r="Y147" s="91">
        <v>21</v>
      </c>
      <c r="Z147" s="14">
        <v>2.9</v>
      </c>
      <c r="AA147" s="205">
        <v>84.2</v>
      </c>
      <c r="AB147" s="205">
        <v>45.1</v>
      </c>
      <c r="AC147" s="57">
        <v>12</v>
      </c>
      <c r="AD147" s="205">
        <v>39.200000000000003</v>
      </c>
      <c r="AE147" s="205">
        <f t="shared" si="14"/>
        <v>26.34</v>
      </c>
      <c r="AF147" s="205">
        <f t="shared" si="15"/>
        <v>1.0961999999999998</v>
      </c>
      <c r="AG147" s="205">
        <f t="shared" si="16"/>
        <v>14.14</v>
      </c>
      <c r="AH147" s="205">
        <f t="shared" si="17"/>
        <v>15.106860000000001</v>
      </c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</row>
    <row r="148" spans="1:95" ht="15" thickBot="1" x14ac:dyDescent="0.35">
      <c r="A148" s="3" t="s">
        <v>24</v>
      </c>
      <c r="B148" s="207" t="s">
        <v>293</v>
      </c>
      <c r="C148" s="207" t="s">
        <v>294</v>
      </c>
      <c r="D148" s="207" t="s">
        <v>17</v>
      </c>
      <c r="E148" s="207">
        <v>14</v>
      </c>
      <c r="F148" s="3">
        <v>45.8</v>
      </c>
      <c r="G148" s="187">
        <v>3.7</v>
      </c>
      <c r="H148" s="8">
        <v>3.9</v>
      </c>
      <c r="I148" s="9">
        <v>6</v>
      </c>
      <c r="J148" s="19">
        <v>4</v>
      </c>
      <c r="K148" s="41">
        <v>2</v>
      </c>
      <c r="L148" s="46">
        <v>113</v>
      </c>
      <c r="M148" s="207">
        <f t="shared" si="12"/>
        <v>4</v>
      </c>
      <c r="N148" s="103">
        <v>96.5</v>
      </c>
      <c r="O148" s="207">
        <f t="shared" si="13"/>
        <v>75.2</v>
      </c>
      <c r="P148" s="19">
        <v>27.3</v>
      </c>
      <c r="Q148" s="46">
        <v>55.9</v>
      </c>
      <c r="R148" s="60">
        <v>61.4</v>
      </c>
      <c r="S148" s="3">
        <v>3.5</v>
      </c>
      <c r="T148" s="6">
        <v>23.6</v>
      </c>
      <c r="U148" s="43">
        <v>8.9</v>
      </c>
      <c r="V148" s="118">
        <v>15.9</v>
      </c>
      <c r="W148" s="105">
        <v>3.2</v>
      </c>
      <c r="X148" s="3">
        <v>2.2000000000000002</v>
      </c>
      <c r="Y148" s="174">
        <v>53.3</v>
      </c>
      <c r="Z148" s="14">
        <v>3.4</v>
      </c>
      <c r="AA148" s="205">
        <v>78.900000000000006</v>
      </c>
      <c r="AB148" s="205">
        <v>57.999999999999993</v>
      </c>
      <c r="AC148" s="14">
        <v>6.8</v>
      </c>
      <c r="AD148" s="205">
        <v>34</v>
      </c>
      <c r="AE148" s="205">
        <f t="shared" si="14"/>
        <v>30.945</v>
      </c>
      <c r="AF148" s="205">
        <f t="shared" si="15"/>
        <v>-2.5244999999999993</v>
      </c>
      <c r="AG148" s="205">
        <f t="shared" si="16"/>
        <v>19.48</v>
      </c>
      <c r="AH148" s="205">
        <f t="shared" si="17"/>
        <v>17.464650000000002</v>
      </c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</row>
    <row r="149" spans="1:95" ht="15" thickBot="1" x14ac:dyDescent="0.35">
      <c r="A149" s="3" t="s">
        <v>14</v>
      </c>
      <c r="B149" s="207" t="s">
        <v>295</v>
      </c>
      <c r="C149" s="207" t="s">
        <v>109</v>
      </c>
      <c r="D149" s="207" t="s">
        <v>110</v>
      </c>
      <c r="E149" s="207">
        <v>21</v>
      </c>
      <c r="F149" s="3">
        <v>84.7</v>
      </c>
      <c r="G149" s="187">
        <v>3.7</v>
      </c>
      <c r="H149" s="3">
        <v>2.2999999999999998</v>
      </c>
      <c r="I149" s="58">
        <v>1.9</v>
      </c>
      <c r="J149" s="20">
        <v>3.2</v>
      </c>
      <c r="K149" s="3">
        <v>-1.3</v>
      </c>
      <c r="L149" s="50">
        <v>117.2</v>
      </c>
      <c r="M149" s="207">
        <f t="shared" si="12"/>
        <v>13.4</v>
      </c>
      <c r="N149" s="183">
        <v>114.5</v>
      </c>
      <c r="O149" s="207">
        <f t="shared" si="13"/>
        <v>11.5</v>
      </c>
      <c r="P149" s="18">
        <v>24.5</v>
      </c>
      <c r="Q149" s="3">
        <v>52.3</v>
      </c>
      <c r="R149" s="41">
        <v>58.2</v>
      </c>
      <c r="S149" s="28">
        <v>2.7</v>
      </c>
      <c r="T149" s="64">
        <v>7.4</v>
      </c>
      <c r="U149" s="71">
        <v>24.3</v>
      </c>
      <c r="V149" s="3">
        <v>18</v>
      </c>
      <c r="W149" s="107">
        <v>0</v>
      </c>
      <c r="X149" s="95">
        <v>0.8</v>
      </c>
      <c r="Y149" s="14">
        <v>44.1</v>
      </c>
      <c r="Z149" s="14">
        <v>3.5</v>
      </c>
      <c r="AA149" s="205">
        <v>81.899999999999991</v>
      </c>
      <c r="AB149" s="205">
        <v>43.8</v>
      </c>
      <c r="AC149" s="88">
        <v>12.6</v>
      </c>
      <c r="AD149" s="205">
        <v>38.299999999999997</v>
      </c>
      <c r="AE149" s="205">
        <f t="shared" si="14"/>
        <v>30.694999999999997</v>
      </c>
      <c r="AF149" s="205">
        <f t="shared" si="15"/>
        <v>9.26</v>
      </c>
      <c r="AG149" s="205">
        <f t="shared" si="16"/>
        <v>3.23</v>
      </c>
      <c r="AH149" s="205">
        <f t="shared" si="17"/>
        <v>16.024999999999999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</row>
    <row r="150" spans="1:95" ht="15" thickBot="1" x14ac:dyDescent="0.35">
      <c r="A150" s="3" t="s">
        <v>24</v>
      </c>
      <c r="B150" s="207" t="s">
        <v>296</v>
      </c>
      <c r="C150" s="207" t="s">
        <v>297</v>
      </c>
      <c r="D150" s="207" t="s">
        <v>298</v>
      </c>
      <c r="E150" s="207">
        <v>21</v>
      </c>
      <c r="F150" s="3">
        <v>89.5</v>
      </c>
      <c r="G150" s="187">
        <v>3.7</v>
      </c>
      <c r="H150" s="169">
        <v>0.9</v>
      </c>
      <c r="I150" s="3">
        <v>-1.3</v>
      </c>
      <c r="J150" s="34">
        <v>2.5</v>
      </c>
      <c r="K150" s="169">
        <v>-3.8</v>
      </c>
      <c r="L150" s="60">
        <v>118</v>
      </c>
      <c r="M150" s="207">
        <f t="shared" si="12"/>
        <v>16.7</v>
      </c>
      <c r="N150" s="98">
        <v>127</v>
      </c>
      <c r="O150" s="207">
        <f t="shared" si="13"/>
        <v>0.70000000000000284</v>
      </c>
      <c r="P150" s="110">
        <v>23.8</v>
      </c>
      <c r="Q150" s="3">
        <v>51.1</v>
      </c>
      <c r="R150" s="76">
        <v>56.5</v>
      </c>
      <c r="S150" s="51">
        <v>0.6</v>
      </c>
      <c r="T150" s="95">
        <v>5.8</v>
      </c>
      <c r="U150" s="3">
        <v>13.5</v>
      </c>
      <c r="V150" s="30">
        <v>9.1999999999999993</v>
      </c>
      <c r="W150" s="86">
        <v>0.3</v>
      </c>
      <c r="X150" s="111">
        <v>0.9</v>
      </c>
      <c r="Y150" s="14">
        <v>32.4</v>
      </c>
      <c r="Z150" s="87">
        <v>2.6</v>
      </c>
      <c r="AA150" s="205">
        <v>86.9</v>
      </c>
      <c r="AB150" s="205">
        <v>47.3</v>
      </c>
      <c r="AC150" s="24">
        <v>10.3</v>
      </c>
      <c r="AD150" s="205">
        <v>37.200000000000003</v>
      </c>
      <c r="AE150" s="205">
        <f t="shared" si="14"/>
        <v>27.269999999999996</v>
      </c>
      <c r="AF150" s="205">
        <f t="shared" si="15"/>
        <v>1.1759999999999999</v>
      </c>
      <c r="AG150" s="205">
        <f t="shared" si="16"/>
        <v>0.39000000000000057</v>
      </c>
      <c r="AH150" s="205">
        <f t="shared" si="17"/>
        <v>11.377800000000001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</row>
    <row r="151" spans="1:95" ht="15" thickBot="1" x14ac:dyDescent="0.35">
      <c r="A151" s="188" t="s">
        <v>41</v>
      </c>
      <c r="B151" s="207" t="s">
        <v>299</v>
      </c>
      <c r="C151" s="207" t="s">
        <v>300</v>
      </c>
      <c r="D151" s="207" t="s">
        <v>251</v>
      </c>
      <c r="E151" s="207">
        <v>20</v>
      </c>
      <c r="F151" s="188">
        <v>73.2</v>
      </c>
      <c r="G151" s="189">
        <v>3.7</v>
      </c>
      <c r="H151" s="190">
        <v>0.9</v>
      </c>
      <c r="I151" s="188">
        <v>0.8</v>
      </c>
      <c r="J151" s="191">
        <v>4.9000000000000004</v>
      </c>
      <c r="K151" s="192">
        <v>-4.0999999999999996</v>
      </c>
      <c r="L151" s="191">
        <v>122.1</v>
      </c>
      <c r="M151" s="207">
        <f t="shared" si="12"/>
        <v>41.6</v>
      </c>
      <c r="N151" s="193">
        <v>125.2</v>
      </c>
      <c r="O151" s="207">
        <f t="shared" si="13"/>
        <v>1.4000000000000057</v>
      </c>
      <c r="P151" s="194">
        <v>28</v>
      </c>
      <c r="Q151" s="195">
        <v>62.7</v>
      </c>
      <c r="R151" s="196">
        <v>66.599999999999994</v>
      </c>
      <c r="S151" s="188">
        <v>4.5</v>
      </c>
      <c r="T151" s="197">
        <v>17.399999999999999</v>
      </c>
      <c r="U151" s="198">
        <v>8.9</v>
      </c>
      <c r="V151" s="199">
        <v>12.2</v>
      </c>
      <c r="W151" s="188">
        <v>1</v>
      </c>
      <c r="X151" s="200">
        <v>1.2</v>
      </c>
      <c r="Y151" s="201">
        <v>55</v>
      </c>
      <c r="Z151" s="202">
        <v>2.6</v>
      </c>
      <c r="AA151" s="205">
        <v>77.8</v>
      </c>
      <c r="AB151" s="205">
        <v>68.899999999999991</v>
      </c>
      <c r="AC151" s="203">
        <v>9.6999999999999993</v>
      </c>
      <c r="AD151" s="205">
        <v>36.1</v>
      </c>
      <c r="AE151" s="205">
        <f t="shared" si="14"/>
        <v>32.625</v>
      </c>
      <c r="AF151" s="205">
        <f t="shared" si="15"/>
        <v>0.16080000000000086</v>
      </c>
      <c r="AG151" s="205">
        <f t="shared" si="16"/>
        <v>2.1700000000000008</v>
      </c>
      <c r="AH151" s="205">
        <f t="shared" si="17"/>
        <v>13.74924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Ramkumar, Bala</dc:creator>
  <cp:lastModifiedBy>Ramkumar, Bala</cp:lastModifiedBy>
  <dcterms:created xsi:type="dcterms:W3CDTF">2026-02-05T01:00:53Z</dcterms:created>
  <dcterms:modified xsi:type="dcterms:W3CDTF">2026-02-09T22:32:32Z</dcterms:modified>
</cp:coreProperties>
</file>