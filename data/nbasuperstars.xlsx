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jada\GitHub Portfolio\NBA Draft Prospect Superstar Predictor\data\"/>
    </mc:Choice>
  </mc:AlternateContent>
  <xr:revisionPtr revIDLastSave="0" documentId="13_ncr:1_{DD859519-9E93-467E-AF8D-621A6F9FC9F0}" xr6:coauthVersionLast="47" xr6:coauthVersionMax="47" xr10:uidLastSave="{00000000-0000-0000-0000-000000000000}"/>
  <bookViews>
    <workbookView xWindow="-108" yWindow="-108" windowWidth="23256" windowHeight="12456" xr2:uid="{63C6F9C6-170D-46C8-8248-6726088DE5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2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</calcChain>
</file>

<file path=xl/sharedStrings.xml><?xml version="1.0" encoding="utf-8"?>
<sst xmlns="http://schemas.openxmlformats.org/spreadsheetml/2006/main" count="94" uniqueCount="76">
  <si>
    <t>Player</t>
  </si>
  <si>
    <t>Team</t>
  </si>
  <si>
    <t>Conf</t>
  </si>
  <si>
    <t>G</t>
  </si>
  <si>
    <t>Min%</t>
  </si>
  <si>
    <t>PRPG!</t>
  </si>
  <si>
    <t>D-PRPG</t>
  </si>
  <si>
    <t>BPM</t>
  </si>
  <si>
    <t>OBPM</t>
  </si>
  <si>
    <t>DBPM</t>
  </si>
  <si>
    <t>ORtg</t>
  </si>
  <si>
    <t>FTR</t>
  </si>
  <si>
    <t>FC/40</t>
  </si>
  <si>
    <t>3P/100</t>
  </si>
  <si>
    <t>Jr</t>
  </si>
  <si>
    <t>Kemba Walker</t>
  </si>
  <si>
    <t>Connecticut</t>
  </si>
  <si>
    <t>BE</t>
  </si>
  <si>
    <t>FT%</t>
  </si>
  <si>
    <t>Grade</t>
  </si>
  <si>
    <t>2P%</t>
  </si>
  <si>
    <t>3P%</t>
  </si>
  <si>
    <t>Usg%</t>
  </si>
  <si>
    <t>eFG%</t>
  </si>
  <si>
    <t>TS%</t>
  </si>
  <si>
    <t>OR%</t>
  </si>
  <si>
    <t>DR%</t>
  </si>
  <si>
    <t>Ast%</t>
  </si>
  <si>
    <t>TO%</t>
  </si>
  <si>
    <t>Blk%</t>
  </si>
  <si>
    <t>Stl%</t>
  </si>
  <si>
    <t>Sr</t>
  </si>
  <si>
    <t>Jimmy Butler</t>
  </si>
  <si>
    <t>Marquette</t>
  </si>
  <si>
    <t>So</t>
  </si>
  <si>
    <t>Kawhi Leonard</t>
  </si>
  <si>
    <t>San Diego St.</t>
  </si>
  <si>
    <t>MWC</t>
  </si>
  <si>
    <t>Stephen Curry</t>
  </si>
  <si>
    <t>Davidson</t>
  </si>
  <si>
    <t>SC</t>
  </si>
  <si>
    <t>James Harden</t>
  </si>
  <si>
    <t>Arizona St.</t>
  </si>
  <si>
    <t>P12</t>
  </si>
  <si>
    <t>Paul George</t>
  </si>
  <si>
    <t>Fresno St.</t>
  </si>
  <si>
    <t>WAC</t>
  </si>
  <si>
    <t>Damian Lillard</t>
  </si>
  <si>
    <t>Weber St.</t>
  </si>
  <si>
    <t>BSky</t>
  </si>
  <si>
    <t>Fr</t>
  </si>
  <si>
    <t>Anthony Davis</t>
  </si>
  <si>
    <t>Kentucky</t>
  </si>
  <si>
    <t>SEC</t>
  </si>
  <si>
    <t>Joel Embiid</t>
  </si>
  <si>
    <t>Kansas</t>
  </si>
  <si>
    <t>B12</t>
  </si>
  <si>
    <t>Devin Booker</t>
  </si>
  <si>
    <t>Donovan Mitchell</t>
  </si>
  <si>
    <t>Louisville</t>
  </si>
  <si>
    <t>ACC</t>
  </si>
  <si>
    <t>Jayson Tatum</t>
  </si>
  <si>
    <t>Duke</t>
  </si>
  <si>
    <t>Isaiah Thomas</t>
  </si>
  <si>
    <t>Washington</t>
  </si>
  <si>
    <t>Russell Westbrook</t>
  </si>
  <si>
    <t>UCLA</t>
  </si>
  <si>
    <t>Anthony Edwards</t>
  </si>
  <si>
    <t>Georgia</t>
  </si>
  <si>
    <t>DRtg</t>
  </si>
  <si>
    <t>ORtgPctl</t>
  </si>
  <si>
    <t>DRtgPctl</t>
  </si>
  <si>
    <t>OIS</t>
  </si>
  <si>
    <t>COEI</t>
  </si>
  <si>
    <t>TWIS</t>
  </si>
  <si>
    <t>SS-Score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</si>
</sst>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6"/>
      <color rgb="FFFFFFFF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2100B7"/>
      <name val="Arial"/>
      <family val="2"/>
    </font>
    <font>
      <b/>
      <sz val="7"/>
      <color rgb="FF2100B7"/>
      <name val="Arial"/>
      <family val="2"/>
    </font>
    <font>
      <sz val="7"/>
      <color theme="1"/>
      <name val="Aptos Narrow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9FB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5D9B4"/>
        <bgColor indexed="64"/>
      </patternFill>
    </fill>
    <fill>
      <patternFill patternType="solid">
        <fgColor rgb="FFABDCB9"/>
        <bgColor indexed="64"/>
      </patternFill>
    </fill>
    <fill>
      <patternFill patternType="solid">
        <fgColor rgb="FFA9DAB7"/>
        <bgColor indexed="64"/>
      </patternFill>
    </fill>
    <fill>
      <patternFill patternType="solid">
        <fgColor rgb="FFB5DFC2"/>
        <bgColor indexed="64"/>
      </patternFill>
    </fill>
    <fill>
      <patternFill patternType="solid">
        <fgColor rgb="FFE8F4EE"/>
        <bgColor indexed="64"/>
      </patternFill>
    </fill>
    <fill>
      <patternFill patternType="solid">
        <fgColor rgb="FFAADBB9"/>
        <bgColor indexed="64"/>
      </patternFill>
    </fill>
    <fill>
      <patternFill patternType="solid">
        <fgColor rgb="FFFBF9FC"/>
        <bgColor indexed="64"/>
      </patternFill>
    </fill>
    <fill>
      <patternFill patternType="solid">
        <fgColor rgb="FFD6EDDE"/>
        <bgColor indexed="64"/>
      </patternFill>
    </fill>
    <fill>
      <patternFill patternType="solid">
        <fgColor rgb="FFBBE2C7"/>
        <bgColor indexed="64"/>
      </patternFill>
    </fill>
    <fill>
      <patternFill patternType="solid">
        <fgColor rgb="FFBEE3C9"/>
        <bgColor indexed="64"/>
      </patternFill>
    </fill>
    <fill>
      <patternFill patternType="solid">
        <fgColor rgb="FFB7E0C3"/>
        <bgColor indexed="64"/>
      </patternFill>
    </fill>
    <fill>
      <patternFill patternType="solid">
        <fgColor rgb="FFAFDDBC"/>
        <bgColor indexed="64"/>
      </patternFill>
    </fill>
    <fill>
      <patternFill patternType="solid">
        <fgColor rgb="FFBDE3C8"/>
        <bgColor indexed="64"/>
      </patternFill>
    </fill>
    <fill>
      <patternFill patternType="solid">
        <fgColor rgb="FFAEDDBC"/>
        <bgColor indexed="64"/>
      </patternFill>
    </fill>
    <fill>
      <patternFill patternType="solid">
        <fgColor rgb="FFCDE9D7"/>
        <bgColor indexed="64"/>
      </patternFill>
    </fill>
    <fill>
      <patternFill patternType="solid">
        <fgColor rgb="FFD5EDDE"/>
        <bgColor indexed="64"/>
      </patternFill>
    </fill>
    <fill>
      <patternFill patternType="solid">
        <fgColor rgb="FFDAEEE1"/>
        <bgColor indexed="64"/>
      </patternFill>
    </fill>
    <fill>
      <patternFill patternType="solid">
        <fgColor rgb="FFBAE2C6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B7E1C4"/>
        <bgColor indexed="64"/>
      </patternFill>
    </fill>
    <fill>
      <patternFill patternType="solid">
        <fgColor rgb="FFFBE7EA"/>
        <bgColor indexed="64"/>
      </patternFill>
    </fill>
    <fill>
      <patternFill patternType="solid">
        <fgColor rgb="FFF8FBFC"/>
        <bgColor indexed="64"/>
      </patternFill>
    </fill>
    <fill>
      <patternFill patternType="solid">
        <fgColor rgb="FFE5F3EB"/>
        <bgColor indexed="64"/>
      </patternFill>
    </fill>
    <fill>
      <patternFill patternType="solid">
        <fgColor rgb="FFD0EAD9"/>
        <bgColor indexed="64"/>
      </patternFill>
    </fill>
    <fill>
      <patternFill patternType="solid">
        <fgColor rgb="FFE2F2E9"/>
        <bgColor indexed="64"/>
      </patternFill>
    </fill>
    <fill>
      <patternFill patternType="solid">
        <fgColor rgb="FFC4E5CE"/>
        <bgColor indexed="64"/>
      </patternFill>
    </fill>
    <fill>
      <patternFill patternType="solid">
        <fgColor rgb="FFFBD9DC"/>
        <bgColor indexed="64"/>
      </patternFill>
    </fill>
    <fill>
      <patternFill patternType="solid">
        <fgColor rgb="FFB1DEBF"/>
        <bgColor indexed="64"/>
      </patternFill>
    </fill>
    <fill>
      <patternFill patternType="solid">
        <fgColor rgb="FFF2F8F6"/>
        <bgColor indexed="64"/>
      </patternFill>
    </fill>
    <fill>
      <patternFill patternType="solid">
        <fgColor rgb="FFCAE8D4"/>
        <bgColor indexed="64"/>
      </patternFill>
    </fill>
    <fill>
      <patternFill patternType="solid">
        <fgColor rgb="FFE0F1E7"/>
        <bgColor indexed="64"/>
      </patternFill>
    </fill>
    <fill>
      <patternFill patternType="solid">
        <fgColor rgb="FFC1E4CC"/>
        <bgColor indexed="64"/>
      </patternFill>
    </fill>
    <fill>
      <patternFill patternType="solid">
        <fgColor rgb="FFF5F9F9"/>
        <bgColor indexed="64"/>
      </patternFill>
    </fill>
    <fill>
      <patternFill patternType="solid">
        <fgColor rgb="FFEFF7F3"/>
        <bgColor indexed="64"/>
      </patternFill>
    </fill>
    <fill>
      <patternFill patternType="solid">
        <fgColor rgb="FFE6F3EC"/>
        <bgColor indexed="64"/>
      </patternFill>
    </fill>
    <fill>
      <patternFill patternType="solid">
        <fgColor rgb="FFDBEFE3"/>
        <bgColor indexed="64"/>
      </patternFill>
    </fill>
    <fill>
      <patternFill patternType="solid">
        <fgColor rgb="FFFBE5E8"/>
        <bgColor indexed="64"/>
      </patternFill>
    </fill>
    <fill>
      <patternFill patternType="solid">
        <fgColor rgb="FFB0DEBE"/>
        <bgColor indexed="64"/>
      </patternFill>
    </fill>
    <fill>
      <patternFill patternType="solid">
        <fgColor rgb="FFFACACD"/>
        <bgColor indexed="64"/>
      </patternFill>
    </fill>
    <fill>
      <patternFill patternType="solid">
        <fgColor rgb="FFF9A8AA"/>
        <bgColor indexed="64"/>
      </patternFill>
    </fill>
    <fill>
      <patternFill patternType="solid">
        <fgColor rgb="FFDCEFE4"/>
        <bgColor indexed="64"/>
      </patternFill>
    </fill>
    <fill>
      <patternFill patternType="solid">
        <fgColor rgb="FFFBDADD"/>
        <bgColor indexed="64"/>
      </patternFill>
    </fill>
    <fill>
      <patternFill patternType="solid">
        <fgColor rgb="FFFAC4C7"/>
        <bgColor indexed="64"/>
      </patternFill>
    </fill>
    <fill>
      <patternFill patternType="solid">
        <fgColor rgb="FFC7E7D1"/>
        <bgColor indexed="64"/>
      </patternFill>
    </fill>
    <fill>
      <patternFill patternType="solid">
        <fgColor rgb="FFFBEBEE"/>
        <bgColor indexed="64"/>
      </patternFill>
    </fill>
    <fill>
      <patternFill patternType="solid">
        <fgColor rgb="FFD3EBDB"/>
        <bgColor indexed="64"/>
      </patternFill>
    </fill>
    <fill>
      <patternFill patternType="solid">
        <fgColor rgb="FFFBF1F4"/>
        <bgColor indexed="64"/>
      </patternFill>
    </fill>
    <fill>
      <patternFill patternType="solid">
        <fgColor rgb="FFA8DAB6"/>
        <bgColor indexed="64"/>
      </patternFill>
    </fill>
    <fill>
      <patternFill patternType="solid">
        <fgColor rgb="FFCFEAD8"/>
        <bgColor indexed="64"/>
      </patternFill>
    </fill>
    <fill>
      <patternFill patternType="solid">
        <fgColor rgb="FFFBF6F9"/>
        <bgColor indexed="64"/>
      </patternFill>
    </fill>
    <fill>
      <patternFill patternType="solid">
        <fgColor rgb="FFC6E7D1"/>
        <bgColor indexed="64"/>
      </patternFill>
    </fill>
    <fill>
      <patternFill patternType="solid">
        <fgColor rgb="FFFBE1E4"/>
        <bgColor indexed="64"/>
      </patternFill>
    </fill>
    <fill>
      <patternFill patternType="solid">
        <fgColor rgb="FFFBFAFD"/>
        <bgColor indexed="64"/>
      </patternFill>
    </fill>
    <fill>
      <patternFill patternType="solid">
        <fgColor rgb="FFF1F8F6"/>
        <bgColor indexed="64"/>
      </patternFill>
    </fill>
    <fill>
      <patternFill patternType="solid">
        <fgColor rgb="FFEBF5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FFA5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FFA500"/>
      </top>
      <bottom style="medium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19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3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9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16" borderId="3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37" borderId="3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2" fillId="18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38" borderId="2" xfId="0" applyFont="1" applyFill="1" applyBorder="1" applyAlignment="1">
      <alignment horizontal="center" vertical="center"/>
    </xf>
    <xf numFmtId="0" fontId="4" fillId="39" borderId="2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31" borderId="3" xfId="0" applyFont="1" applyFill="1" applyBorder="1" applyAlignment="1">
      <alignment horizontal="center" vertical="center"/>
    </xf>
    <xf numFmtId="0" fontId="4" fillId="40" borderId="3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0" fontId="4" fillId="37" borderId="3" xfId="0" applyFont="1" applyFill="1" applyBorder="1" applyAlignment="1">
      <alignment horizontal="center" vertical="center"/>
    </xf>
    <xf numFmtId="0" fontId="4" fillId="35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/>
    </xf>
    <xf numFmtId="0" fontId="4" fillId="42" borderId="4" xfId="0" applyFont="1" applyFill="1" applyBorder="1" applyAlignment="1">
      <alignment horizontal="center" vertical="center"/>
    </xf>
    <xf numFmtId="0" fontId="3" fillId="4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4" borderId="3" xfId="0" applyFont="1" applyFill="1" applyBorder="1" applyAlignment="1">
      <alignment horizontal="center" vertical="center"/>
    </xf>
    <xf numFmtId="0" fontId="2" fillId="45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3" borderId="4" xfId="0" applyFont="1" applyFill="1" applyBorder="1" applyAlignment="1">
      <alignment horizontal="center" vertical="center"/>
    </xf>
    <xf numFmtId="0" fontId="2" fillId="46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2" fillId="33" borderId="3" xfId="0" applyFont="1" applyFill="1" applyBorder="1" applyAlignment="1">
      <alignment horizontal="center" vertical="center"/>
    </xf>
    <xf numFmtId="0" fontId="2" fillId="47" borderId="3" xfId="0" applyFont="1" applyFill="1" applyBorder="1" applyAlignment="1">
      <alignment horizontal="center" vertical="center"/>
    </xf>
    <xf numFmtId="0" fontId="2" fillId="48" borderId="3" xfId="0" applyFont="1" applyFill="1" applyBorder="1" applyAlignment="1">
      <alignment horizontal="center" vertical="center"/>
    </xf>
    <xf numFmtId="0" fontId="2" fillId="30" borderId="3" xfId="0" applyFont="1" applyFill="1" applyBorder="1" applyAlignment="1">
      <alignment horizontal="center" vertical="center"/>
    </xf>
    <xf numFmtId="0" fontId="2" fillId="49" borderId="3" xfId="0" applyFont="1" applyFill="1" applyBorder="1" applyAlignment="1">
      <alignment horizontal="center" vertical="center"/>
    </xf>
    <xf numFmtId="0" fontId="2" fillId="50" borderId="3" xfId="0" applyFont="1" applyFill="1" applyBorder="1" applyAlignment="1">
      <alignment horizontal="center" vertical="center"/>
    </xf>
    <xf numFmtId="0" fontId="2" fillId="30" borderId="4" xfId="0" applyFont="1" applyFill="1" applyBorder="1" applyAlignment="1">
      <alignment horizontal="center" vertical="center"/>
    </xf>
    <xf numFmtId="0" fontId="2" fillId="33" borderId="4" xfId="0" applyFont="1" applyFill="1" applyBorder="1" applyAlignment="1">
      <alignment horizontal="center" vertical="center"/>
    </xf>
    <xf numFmtId="0" fontId="2" fillId="51" borderId="3" xfId="0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4" fillId="55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5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37" borderId="2" xfId="0" applyFont="1" applyFill="1" applyBorder="1" applyAlignment="1">
      <alignment horizontal="center" vertical="center"/>
    </xf>
    <xf numFmtId="0" fontId="2" fillId="36" borderId="2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4" fillId="47" borderId="3" xfId="0" applyFont="1" applyFill="1" applyBorder="1" applyAlignment="1">
      <alignment horizontal="center" vertical="center"/>
    </xf>
    <xf numFmtId="0" fontId="4" fillId="35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57" borderId="3" xfId="0" applyFont="1" applyFill="1" applyBorder="1" applyAlignment="1">
      <alignment horizontal="center" vertical="center"/>
    </xf>
    <xf numFmtId="0" fontId="4" fillId="58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E6DF-80D6-4530-8C53-ABDE2EC64E1A}">
  <dimension ref="A1:AH16"/>
  <sheetViews>
    <sheetView tabSelected="1" zoomScale="143" zoomScaleNormal="143" workbookViewId="0"/>
  </sheetViews>
  <sheetFormatPr defaultRowHeight="14.4" x14ac:dyDescent="0.3"/>
  <cols>
    <col min="1" max="1" width="4.77734375" bestFit="1" customWidth="1"/>
    <col min="2" max="2" width="12.44140625" bestFit="1" customWidth="1"/>
    <col min="3" max="3" width="9.109375" bestFit="1" customWidth="1"/>
    <col min="4" max="4" width="4" bestFit="1" customWidth="1"/>
    <col min="5" max="5" width="2.33203125" bestFit="1" customWidth="1"/>
    <col min="6" max="6" width="4.21875" bestFit="1" customWidth="1"/>
    <col min="7" max="7" width="5.109375" bestFit="1" customWidth="1"/>
    <col min="8" max="8" width="6.21875" bestFit="1" customWidth="1"/>
    <col min="9" max="9" width="3.88671875" bestFit="1" customWidth="1"/>
    <col min="10" max="10" width="4.77734375" bestFit="1" customWidth="1"/>
    <col min="11" max="12" width="4.6640625" bestFit="1" customWidth="1"/>
    <col min="13" max="13" width="6.5546875" bestFit="1" customWidth="1"/>
    <col min="14" max="14" width="4.6640625" bestFit="1" customWidth="1"/>
    <col min="15" max="15" width="6.44140625" bestFit="1" customWidth="1"/>
    <col min="16" max="16" width="4.44140625" bestFit="1" customWidth="1"/>
    <col min="17" max="17" width="4.6640625" bestFit="1" customWidth="1"/>
    <col min="18" max="18" width="3.88671875" bestFit="1" customWidth="1"/>
    <col min="19" max="19" width="4" bestFit="1" customWidth="1"/>
    <col min="20" max="20" width="3.88671875" bestFit="1" customWidth="1"/>
    <col min="21" max="21" width="4.109375" bestFit="1" customWidth="1"/>
    <col min="22" max="22" width="3.88671875" bestFit="1" customWidth="1"/>
    <col min="23" max="23" width="4" bestFit="1" customWidth="1"/>
    <col min="24" max="24" width="3.77734375" bestFit="1" customWidth="1"/>
    <col min="25" max="25" width="3.88671875" bestFit="1" customWidth="1"/>
    <col min="26" max="26" width="4.6640625" bestFit="1" customWidth="1"/>
    <col min="27" max="28" width="3.88671875" bestFit="1" customWidth="1"/>
    <col min="29" max="29" width="5.21875" bestFit="1" customWidth="1"/>
    <col min="30" max="30" width="3.88671875" bestFit="1" customWidth="1"/>
    <col min="31" max="31" width="5.44140625" bestFit="1" customWidth="1"/>
    <col min="32" max="32" width="6.21875" bestFit="1" customWidth="1"/>
    <col min="33" max="33" width="4.109375" bestFit="1" customWidth="1"/>
    <col min="34" max="34" width="7.109375" bestFit="1" customWidth="1"/>
  </cols>
  <sheetData>
    <row r="1" spans="1:34" ht="15" thickBot="1" x14ac:dyDescent="0.35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70</v>
      </c>
      <c r="N1" s="1" t="s">
        <v>69</v>
      </c>
      <c r="O1" s="1" t="s">
        <v>71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11</v>
      </c>
      <c r="Z1" s="1" t="s">
        <v>12</v>
      </c>
      <c r="AA1" s="1" t="s">
        <v>18</v>
      </c>
      <c r="AB1" s="1" t="s">
        <v>20</v>
      </c>
      <c r="AC1" s="1" t="s">
        <v>13</v>
      </c>
      <c r="AD1" s="1" t="s">
        <v>21</v>
      </c>
      <c r="AE1" s="1" t="s">
        <v>72</v>
      </c>
      <c r="AF1" s="1" t="s">
        <v>73</v>
      </c>
      <c r="AG1" s="1" t="s">
        <v>74</v>
      </c>
      <c r="AH1" s="1" t="s">
        <v>75</v>
      </c>
    </row>
    <row r="2" spans="1:34" ht="15" thickBot="1" x14ac:dyDescent="0.35">
      <c r="A2" s="2" t="s">
        <v>14</v>
      </c>
      <c r="B2" s="53" t="s">
        <v>15</v>
      </c>
      <c r="C2" s="53" t="s">
        <v>16</v>
      </c>
      <c r="D2" s="53" t="s">
        <v>17</v>
      </c>
      <c r="E2" s="53">
        <v>41</v>
      </c>
      <c r="F2" s="2">
        <v>92.4</v>
      </c>
      <c r="G2" s="3">
        <v>7.2</v>
      </c>
      <c r="H2" s="5">
        <v>4.7</v>
      </c>
      <c r="I2" s="5">
        <v>12.3</v>
      </c>
      <c r="J2" s="5">
        <v>9</v>
      </c>
      <c r="K2" s="12">
        <v>3.2</v>
      </c>
      <c r="L2" s="11">
        <v>117.8</v>
      </c>
      <c r="M2" s="141">
        <f>(_xlfn.PERCENTRANK.INC($L$2:$L$151,L2)*100)</f>
        <v>64.2</v>
      </c>
      <c r="N2" s="13">
        <v>91.3</v>
      </c>
      <c r="O2" s="53">
        <f>100-(_xlfn.PERCENTRANK.INC($N$2:$N$151,N2)*100)</f>
        <v>35.799999999999997</v>
      </c>
      <c r="P2" s="6">
        <v>31.5</v>
      </c>
      <c r="Q2" s="2">
        <v>47.8</v>
      </c>
      <c r="R2" s="2">
        <v>54.3</v>
      </c>
      <c r="S2" s="2">
        <v>3.9</v>
      </c>
      <c r="T2" s="2">
        <v>11.5</v>
      </c>
      <c r="U2" s="14">
        <v>28</v>
      </c>
      <c r="V2" s="15">
        <v>11.8</v>
      </c>
      <c r="W2" s="9">
        <v>0.5</v>
      </c>
      <c r="X2" s="11">
        <v>3.1</v>
      </c>
      <c r="Y2" s="10">
        <v>42.6</v>
      </c>
      <c r="Z2" s="16">
        <v>1.5</v>
      </c>
      <c r="AA2" s="53">
        <v>81.899999999999991</v>
      </c>
      <c r="AB2" s="53">
        <v>47.099999999999994</v>
      </c>
      <c r="AC2" s="17">
        <v>9</v>
      </c>
      <c r="AD2" s="53">
        <v>33</v>
      </c>
      <c r="AE2" s="53">
        <f>(0.3*P2)+(0.25*R2)+(0.2*G2)+(0.15*U2)+(0.1*Y2)</f>
        <v>32.924999999999997</v>
      </c>
      <c r="AF2" s="53">
        <f>((U2+G2)-V2)*_xlfn.PERCENTRANK.INC($V$2:$V$16,V2)</f>
        <v>3.3228</v>
      </c>
      <c r="AG2" s="53">
        <f>(0.35*I2)+(0.2*K2)+(0.15*O2)+(0.15+X2)+(0.15+W2)</f>
        <v>14.215</v>
      </c>
      <c r="AH2" s="53">
        <f>(AE2*0.4)+(AF2*0.3)+(AG2*0.3)</f>
        <v>18.431339999999999</v>
      </c>
    </row>
    <row r="3" spans="1:34" ht="15" thickBot="1" x14ac:dyDescent="0.35">
      <c r="A3" s="2" t="s">
        <v>14</v>
      </c>
      <c r="B3" s="53" t="s">
        <v>38</v>
      </c>
      <c r="C3" s="53" t="s">
        <v>39</v>
      </c>
      <c r="D3" s="53" t="s">
        <v>40</v>
      </c>
      <c r="E3" s="53">
        <v>33</v>
      </c>
      <c r="F3" s="2">
        <v>82.1</v>
      </c>
      <c r="G3" s="3">
        <v>6.5</v>
      </c>
      <c r="H3" s="5">
        <v>4.4000000000000004</v>
      </c>
      <c r="I3" s="5">
        <v>15.3</v>
      </c>
      <c r="J3" s="5">
        <v>10.8</v>
      </c>
      <c r="K3" s="4">
        <v>4.5</v>
      </c>
      <c r="L3" s="11">
        <v>118</v>
      </c>
      <c r="M3" s="141">
        <f t="shared" ref="M3:M16" si="0">(_xlfn.PERCENTRANK.INC($L$2:$L$151,L3)*100)</f>
        <v>71.399999999999991</v>
      </c>
      <c r="N3" s="8">
        <v>88.4</v>
      </c>
      <c r="O3" s="53">
        <f t="shared" ref="O3:O16" si="1">100-(_xlfn.PERCENTRANK.INC($N$2:$N$151,N3)*100)</f>
        <v>57.2</v>
      </c>
      <c r="P3" s="5">
        <v>37.5</v>
      </c>
      <c r="Q3" s="35">
        <v>54.9</v>
      </c>
      <c r="R3" s="36">
        <v>60.5</v>
      </c>
      <c r="S3" s="37">
        <v>1.8</v>
      </c>
      <c r="T3" s="2">
        <v>12.3</v>
      </c>
      <c r="U3" s="5">
        <v>39.799999999999997</v>
      </c>
      <c r="V3" s="2">
        <v>16.600000000000001</v>
      </c>
      <c r="W3" s="2">
        <v>0.7</v>
      </c>
      <c r="X3" s="6">
        <v>3.9</v>
      </c>
      <c r="Y3" s="10">
        <v>36.1</v>
      </c>
      <c r="Z3" s="10">
        <v>2.8</v>
      </c>
      <c r="AA3" s="53">
        <v>88</v>
      </c>
      <c r="AB3" s="53">
        <v>51.800000000000004</v>
      </c>
      <c r="AC3" s="38">
        <v>16.3</v>
      </c>
      <c r="AD3" s="53">
        <v>38.800000000000004</v>
      </c>
      <c r="AE3" s="53">
        <f t="shared" ref="AE3:AE16" si="2">(0.3*P3)+(0.25*R3)+(0.2*G3)+(0.15*U3)+(0.1*Y3)</f>
        <v>37.255000000000003</v>
      </c>
      <c r="AF3" s="53">
        <f t="shared" ref="AF3:AF16" si="3">((U3+G3)-V3)*_xlfn.PERCENTRANK.INC($V$2:$V$16,V3)</f>
        <v>16.958699999999997</v>
      </c>
      <c r="AG3" s="53">
        <f t="shared" ref="AG3:AG16" si="4">(0.35*I3)+(0.2*K3)+(0.15*O3)+(0.15+X3)+(0.15+W3)</f>
        <v>19.735000000000003</v>
      </c>
      <c r="AH3" s="53">
        <f t="shared" ref="AH3:AH16" si="5">(AE3*0.4)+(AF3*0.3)+(AG3*0.3)</f>
        <v>25.91011</v>
      </c>
    </row>
    <row r="4" spans="1:34" ht="15" thickBot="1" x14ac:dyDescent="0.35">
      <c r="A4" s="39" t="s">
        <v>34</v>
      </c>
      <c r="B4" s="53" t="s">
        <v>41</v>
      </c>
      <c r="C4" s="53" t="s">
        <v>42</v>
      </c>
      <c r="D4" s="53" t="s">
        <v>43</v>
      </c>
      <c r="E4" s="53">
        <v>35</v>
      </c>
      <c r="F4" s="39">
        <v>88.3</v>
      </c>
      <c r="G4" s="40">
        <v>6.3</v>
      </c>
      <c r="H4" s="41">
        <v>4.5</v>
      </c>
      <c r="I4" s="42">
        <v>9.8000000000000007</v>
      </c>
      <c r="J4" s="42">
        <v>6.9</v>
      </c>
      <c r="K4" s="43">
        <v>2.9</v>
      </c>
      <c r="L4" s="44">
        <v>112.8</v>
      </c>
      <c r="M4" s="141">
        <f t="shared" si="0"/>
        <v>42.8</v>
      </c>
      <c r="N4" s="45">
        <v>89.5</v>
      </c>
      <c r="O4" s="53">
        <f t="shared" si="1"/>
        <v>42.900000000000006</v>
      </c>
      <c r="P4" s="41">
        <v>32.6</v>
      </c>
      <c r="Q4" s="46">
        <v>55.3</v>
      </c>
      <c r="R4" s="47">
        <v>60.7</v>
      </c>
      <c r="S4" s="39">
        <v>5.5</v>
      </c>
      <c r="T4" s="39">
        <v>14.6</v>
      </c>
      <c r="U4" s="48">
        <v>29.2</v>
      </c>
      <c r="V4" s="39">
        <v>19</v>
      </c>
      <c r="W4" s="39">
        <v>1.1000000000000001</v>
      </c>
      <c r="X4" s="49">
        <v>3.1</v>
      </c>
      <c r="Y4" s="50">
        <v>59.7</v>
      </c>
      <c r="Z4" s="51">
        <v>3.2</v>
      </c>
      <c r="AA4" s="53">
        <v>75.599999999999994</v>
      </c>
      <c r="AB4" s="53">
        <v>56.399999999999991</v>
      </c>
      <c r="AC4" s="52">
        <v>8.6</v>
      </c>
      <c r="AD4" s="53">
        <v>35.6</v>
      </c>
      <c r="AE4" s="53">
        <f t="shared" si="2"/>
        <v>36.564999999999998</v>
      </c>
      <c r="AF4" s="53">
        <f t="shared" si="3"/>
        <v>11.780999999999999</v>
      </c>
      <c r="AG4" s="53">
        <f t="shared" si="4"/>
        <v>14.945</v>
      </c>
      <c r="AH4" s="53">
        <f t="shared" si="5"/>
        <v>22.643799999999999</v>
      </c>
    </row>
    <row r="5" spans="1:34" ht="15" thickBot="1" x14ac:dyDescent="0.35">
      <c r="A5" s="39" t="s">
        <v>14</v>
      </c>
      <c r="B5" s="53" t="s">
        <v>47</v>
      </c>
      <c r="C5" s="53" t="s">
        <v>48</v>
      </c>
      <c r="D5" s="53" t="s">
        <v>49</v>
      </c>
      <c r="E5" s="53">
        <v>30</v>
      </c>
      <c r="F5" s="39">
        <v>87.2</v>
      </c>
      <c r="G5" s="40">
        <v>6.3</v>
      </c>
      <c r="H5" s="70">
        <v>2.9</v>
      </c>
      <c r="I5" s="42">
        <v>9.8000000000000007</v>
      </c>
      <c r="J5" s="41">
        <v>8.9</v>
      </c>
      <c r="K5" s="39">
        <v>0.9</v>
      </c>
      <c r="L5" s="71">
        <v>122.3</v>
      </c>
      <c r="M5" s="141">
        <f t="shared" si="0"/>
        <v>92.800000000000011</v>
      </c>
      <c r="N5" s="39">
        <v>103.4</v>
      </c>
      <c r="O5" s="53">
        <f t="shared" si="1"/>
        <v>0</v>
      </c>
      <c r="P5" s="41">
        <v>32.299999999999997</v>
      </c>
      <c r="Q5" s="72">
        <v>54.5</v>
      </c>
      <c r="R5" s="54">
        <v>62.1</v>
      </c>
      <c r="S5" s="73">
        <v>1.9</v>
      </c>
      <c r="T5" s="39">
        <v>14.1</v>
      </c>
      <c r="U5" s="71">
        <v>28</v>
      </c>
      <c r="V5" s="74">
        <v>12</v>
      </c>
      <c r="W5" s="39">
        <v>0.7</v>
      </c>
      <c r="X5" s="55">
        <v>2.5</v>
      </c>
      <c r="Y5" s="75">
        <v>51.4</v>
      </c>
      <c r="Z5" s="76">
        <v>2.2999999999999998</v>
      </c>
      <c r="AA5" s="53">
        <v>88.5</v>
      </c>
      <c r="AB5" s="53">
        <v>50.4</v>
      </c>
      <c r="AC5" s="77">
        <v>12.3</v>
      </c>
      <c r="AD5" s="53">
        <v>39.6</v>
      </c>
      <c r="AE5" s="53">
        <f t="shared" si="2"/>
        <v>35.814999999999998</v>
      </c>
      <c r="AF5" s="53">
        <f t="shared" si="3"/>
        <v>4.7721999999999989</v>
      </c>
      <c r="AG5" s="53">
        <f t="shared" si="4"/>
        <v>7.1099999999999994</v>
      </c>
      <c r="AH5" s="53">
        <f t="shared" si="5"/>
        <v>17.89066</v>
      </c>
    </row>
    <row r="6" spans="1:34" ht="15.6" thickTop="1" thickBot="1" x14ac:dyDescent="0.35">
      <c r="A6" s="18" t="s">
        <v>50</v>
      </c>
      <c r="B6" s="53" t="s">
        <v>51</v>
      </c>
      <c r="C6" s="53" t="s">
        <v>52</v>
      </c>
      <c r="D6" s="53" t="s">
        <v>53</v>
      </c>
      <c r="E6" s="53">
        <v>40</v>
      </c>
      <c r="F6" s="18">
        <v>80.099999999999994</v>
      </c>
      <c r="G6" s="78">
        <v>5.9</v>
      </c>
      <c r="H6" s="79">
        <v>5.8</v>
      </c>
      <c r="I6" s="79">
        <v>16.600000000000001</v>
      </c>
      <c r="J6" s="79">
        <v>8.9</v>
      </c>
      <c r="K6" s="79">
        <v>7.7</v>
      </c>
      <c r="L6" s="79">
        <v>133.80000000000001</v>
      </c>
      <c r="M6" s="141">
        <f t="shared" si="0"/>
        <v>100</v>
      </c>
      <c r="N6" s="79">
        <v>75.900000000000006</v>
      </c>
      <c r="O6" s="53">
        <f t="shared" si="1"/>
        <v>100</v>
      </c>
      <c r="P6" s="18">
        <v>19.100000000000001</v>
      </c>
      <c r="Q6" s="80">
        <v>62.8</v>
      </c>
      <c r="R6" s="80">
        <v>65.400000000000006</v>
      </c>
      <c r="S6" s="81">
        <v>11.6</v>
      </c>
      <c r="T6" s="21">
        <v>23.9</v>
      </c>
      <c r="U6" s="82">
        <v>7.5</v>
      </c>
      <c r="V6" s="83">
        <v>10</v>
      </c>
      <c r="W6" s="79">
        <v>13.7</v>
      </c>
      <c r="X6" s="84">
        <v>2.5</v>
      </c>
      <c r="Y6" s="85">
        <v>60.2</v>
      </c>
      <c r="Z6" s="86">
        <v>2.4</v>
      </c>
      <c r="AA6" s="53">
        <v>70.899999999999991</v>
      </c>
      <c r="AB6" s="53">
        <v>65.3</v>
      </c>
      <c r="AC6" s="87">
        <v>0.9</v>
      </c>
      <c r="AD6" s="53">
        <v>15</v>
      </c>
      <c r="AE6" s="53">
        <f t="shared" si="2"/>
        <v>30.405000000000001</v>
      </c>
      <c r="AF6" s="53">
        <f t="shared" si="3"/>
        <v>0</v>
      </c>
      <c r="AG6" s="53">
        <f t="shared" si="4"/>
        <v>38.85</v>
      </c>
      <c r="AH6" s="53">
        <f t="shared" si="5"/>
        <v>23.817</v>
      </c>
    </row>
    <row r="7" spans="1:34" ht="15.6" thickTop="1" thickBot="1" x14ac:dyDescent="0.35">
      <c r="A7" s="18" t="s">
        <v>31</v>
      </c>
      <c r="B7" s="53" t="s">
        <v>32</v>
      </c>
      <c r="C7" s="53" t="s">
        <v>33</v>
      </c>
      <c r="D7" s="53" t="s">
        <v>17</v>
      </c>
      <c r="E7" s="53">
        <v>37</v>
      </c>
      <c r="F7" s="18">
        <v>86.3</v>
      </c>
      <c r="G7" s="19">
        <v>5.2</v>
      </c>
      <c r="H7" s="20">
        <v>3.9</v>
      </c>
      <c r="I7" s="21">
        <v>8.5</v>
      </c>
      <c r="J7" s="21">
        <v>6.7</v>
      </c>
      <c r="K7" s="22">
        <v>1.7</v>
      </c>
      <c r="L7" s="20">
        <v>122</v>
      </c>
      <c r="M7" s="141">
        <f t="shared" si="0"/>
        <v>85.7</v>
      </c>
      <c r="N7" s="23">
        <v>95.7</v>
      </c>
      <c r="O7" s="53">
        <f t="shared" si="1"/>
        <v>14.299999999999997</v>
      </c>
      <c r="P7" s="18">
        <v>21.2</v>
      </c>
      <c r="Q7" s="18">
        <v>51.6</v>
      </c>
      <c r="R7" s="24">
        <v>58.7</v>
      </c>
      <c r="S7" s="22">
        <v>8.1999999999999993</v>
      </c>
      <c r="T7" s="18">
        <v>12</v>
      </c>
      <c r="U7" s="18">
        <v>13.2</v>
      </c>
      <c r="V7" s="25">
        <v>11.6</v>
      </c>
      <c r="W7" s="18">
        <v>1.1000000000000001</v>
      </c>
      <c r="X7" s="26">
        <v>2.4</v>
      </c>
      <c r="Y7" s="27">
        <v>62.8</v>
      </c>
      <c r="Z7" s="28">
        <v>1.5</v>
      </c>
      <c r="AA7" s="53">
        <v>78.3</v>
      </c>
      <c r="AB7" s="53">
        <v>51.5</v>
      </c>
      <c r="AC7" s="30">
        <v>2.6</v>
      </c>
      <c r="AD7" s="53">
        <v>34.5</v>
      </c>
      <c r="AE7" s="53">
        <f t="shared" si="2"/>
        <v>30.335000000000001</v>
      </c>
      <c r="AF7" s="53">
        <f t="shared" si="3"/>
        <v>0.4827999999999999</v>
      </c>
      <c r="AG7" s="53">
        <f t="shared" si="4"/>
        <v>9.259999999999998</v>
      </c>
      <c r="AH7" s="53">
        <f t="shared" si="5"/>
        <v>15.056839999999999</v>
      </c>
    </row>
    <row r="8" spans="1:34" ht="15" thickBot="1" x14ac:dyDescent="0.35">
      <c r="A8" s="2" t="s">
        <v>14</v>
      </c>
      <c r="B8" s="53" t="s">
        <v>63</v>
      </c>
      <c r="C8" s="53" t="s">
        <v>64</v>
      </c>
      <c r="D8" s="53" t="s">
        <v>43</v>
      </c>
      <c r="E8" s="53">
        <v>35</v>
      </c>
      <c r="F8" s="2">
        <v>79.099999999999994</v>
      </c>
      <c r="G8" s="121">
        <v>4.8</v>
      </c>
      <c r="H8" s="7">
        <v>3.6</v>
      </c>
      <c r="I8" s="14">
        <v>7.1</v>
      </c>
      <c r="J8" s="4">
        <v>5.8</v>
      </c>
      <c r="K8" s="122">
        <v>1.3</v>
      </c>
      <c r="L8" s="106">
        <v>114.3</v>
      </c>
      <c r="M8" s="141">
        <f t="shared" si="0"/>
        <v>50</v>
      </c>
      <c r="N8" s="105">
        <v>95.1</v>
      </c>
      <c r="O8" s="53">
        <f t="shared" si="1"/>
        <v>21.5</v>
      </c>
      <c r="P8" s="116">
        <v>27.2</v>
      </c>
      <c r="Q8" s="2">
        <v>51.7</v>
      </c>
      <c r="R8" s="2">
        <v>56.3</v>
      </c>
      <c r="S8" s="123">
        <v>2.5</v>
      </c>
      <c r="T8" s="107">
        <v>9.5</v>
      </c>
      <c r="U8" s="6">
        <v>32.700000000000003</v>
      </c>
      <c r="V8" s="2">
        <v>19</v>
      </c>
      <c r="W8" s="124">
        <v>0.2</v>
      </c>
      <c r="X8" s="2">
        <v>2.2999999999999998</v>
      </c>
      <c r="Y8" s="125">
        <v>49.8</v>
      </c>
      <c r="Z8" s="10">
        <v>2.7</v>
      </c>
      <c r="AA8" s="53">
        <v>71.899999999999991</v>
      </c>
      <c r="AB8" s="53">
        <v>51.2</v>
      </c>
      <c r="AC8" s="126">
        <v>8.6</v>
      </c>
      <c r="AD8" s="53">
        <v>34.9</v>
      </c>
      <c r="AE8" s="53">
        <f t="shared" si="2"/>
        <v>33.08</v>
      </c>
      <c r="AF8" s="53">
        <f t="shared" si="3"/>
        <v>13.209</v>
      </c>
      <c r="AG8" s="53">
        <f t="shared" si="4"/>
        <v>8.77</v>
      </c>
      <c r="AH8" s="53">
        <f t="shared" si="5"/>
        <v>19.825699999999998</v>
      </c>
    </row>
    <row r="9" spans="1:34" ht="15" thickBot="1" x14ac:dyDescent="0.35">
      <c r="A9" s="2" t="s">
        <v>34</v>
      </c>
      <c r="B9" s="53" t="s">
        <v>35</v>
      </c>
      <c r="C9" s="53" t="s">
        <v>36</v>
      </c>
      <c r="D9" s="53" t="s">
        <v>37</v>
      </c>
      <c r="E9" s="53">
        <v>34</v>
      </c>
      <c r="F9" s="2">
        <v>79.599999999999994</v>
      </c>
      <c r="G9" s="31">
        <v>4.2</v>
      </c>
      <c r="H9" s="5">
        <v>5.3</v>
      </c>
      <c r="I9" s="4">
        <v>8.1999999999999993</v>
      </c>
      <c r="J9" s="14">
        <v>4.9000000000000004</v>
      </c>
      <c r="K9" s="11">
        <v>3.4</v>
      </c>
      <c r="L9" s="32">
        <v>108.7</v>
      </c>
      <c r="M9" s="141">
        <f t="shared" si="0"/>
        <v>14.2</v>
      </c>
      <c r="N9" s="5">
        <v>81.599999999999994</v>
      </c>
      <c r="O9" s="53">
        <f t="shared" si="1"/>
        <v>92.9</v>
      </c>
      <c r="P9" s="7">
        <v>27.7</v>
      </c>
      <c r="Q9" s="2">
        <v>46.3</v>
      </c>
      <c r="R9" s="2">
        <v>50.8</v>
      </c>
      <c r="S9" s="7">
        <v>11.4</v>
      </c>
      <c r="T9" s="5">
        <v>25.9</v>
      </c>
      <c r="U9" s="2">
        <v>16.399999999999999</v>
      </c>
      <c r="V9" s="33">
        <v>15.1</v>
      </c>
      <c r="W9" s="2">
        <v>1.9</v>
      </c>
      <c r="X9" s="34">
        <v>2.8</v>
      </c>
      <c r="Y9" s="10">
        <v>32.1</v>
      </c>
      <c r="Z9" s="10">
        <v>3.1</v>
      </c>
      <c r="AA9" s="53">
        <v>75.900000000000006</v>
      </c>
      <c r="AB9" s="53">
        <v>47.199999999999996</v>
      </c>
      <c r="AC9" s="10">
        <v>4.5</v>
      </c>
      <c r="AD9" s="53">
        <v>28.4</v>
      </c>
      <c r="AE9" s="53">
        <f t="shared" si="2"/>
        <v>27.52</v>
      </c>
      <c r="AF9" s="53">
        <f t="shared" si="3"/>
        <v>2.3539999999999992</v>
      </c>
      <c r="AG9" s="53">
        <f t="shared" si="4"/>
        <v>22.484999999999999</v>
      </c>
      <c r="AH9" s="53">
        <f t="shared" si="5"/>
        <v>18.459699999999998</v>
      </c>
    </row>
    <row r="10" spans="1:34" ht="15" thickBot="1" x14ac:dyDescent="0.35">
      <c r="A10" s="39" t="s">
        <v>34</v>
      </c>
      <c r="B10" s="53" t="s">
        <v>58</v>
      </c>
      <c r="C10" s="53" t="s">
        <v>59</v>
      </c>
      <c r="D10" s="53" t="s">
        <v>60</v>
      </c>
      <c r="E10" s="53">
        <v>34</v>
      </c>
      <c r="F10" s="39">
        <v>80.099999999999994</v>
      </c>
      <c r="G10" s="108">
        <v>4.2</v>
      </c>
      <c r="H10" s="41">
        <v>4.8</v>
      </c>
      <c r="I10" s="42">
        <v>10.1</v>
      </c>
      <c r="J10" s="71">
        <v>5.3</v>
      </c>
      <c r="K10" s="48">
        <v>4.8</v>
      </c>
      <c r="L10" s="109">
        <v>114.4</v>
      </c>
      <c r="M10" s="141">
        <f t="shared" si="0"/>
        <v>57.099999999999994</v>
      </c>
      <c r="N10" s="110">
        <v>86.4</v>
      </c>
      <c r="O10" s="53">
        <f t="shared" si="1"/>
        <v>78.599999999999994</v>
      </c>
      <c r="P10" s="111">
        <v>23.3</v>
      </c>
      <c r="Q10" s="39">
        <v>49.8</v>
      </c>
      <c r="R10" s="39">
        <v>53.4</v>
      </c>
      <c r="S10" s="39">
        <v>3.7</v>
      </c>
      <c r="T10" s="39">
        <v>12.9</v>
      </c>
      <c r="U10" s="39">
        <v>16</v>
      </c>
      <c r="V10" s="112">
        <v>12.7</v>
      </c>
      <c r="W10" s="39">
        <v>1.7</v>
      </c>
      <c r="X10" s="42">
        <v>3.7</v>
      </c>
      <c r="Y10" s="113">
        <v>24.3</v>
      </c>
      <c r="Z10" s="51">
        <v>3.2</v>
      </c>
      <c r="AA10" s="53">
        <v>80.600000000000009</v>
      </c>
      <c r="AB10" s="53">
        <v>46.300000000000004</v>
      </c>
      <c r="AC10" s="114">
        <v>12</v>
      </c>
      <c r="AD10" s="53">
        <v>35.4</v>
      </c>
      <c r="AE10" s="53">
        <f t="shared" si="2"/>
        <v>26.009999999999998</v>
      </c>
      <c r="AF10" s="53">
        <f t="shared" si="3"/>
        <v>2.1374999999999997</v>
      </c>
      <c r="AG10" s="53">
        <f t="shared" si="4"/>
        <v>21.984999999999999</v>
      </c>
      <c r="AH10" s="53">
        <f t="shared" si="5"/>
        <v>17.640749999999997</v>
      </c>
    </row>
    <row r="11" spans="1:34" ht="15" thickBot="1" x14ac:dyDescent="0.35">
      <c r="A11" s="2" t="s">
        <v>50</v>
      </c>
      <c r="B11" s="53" t="s">
        <v>61</v>
      </c>
      <c r="C11" s="53" t="s">
        <v>62</v>
      </c>
      <c r="D11" s="53" t="s">
        <v>60</v>
      </c>
      <c r="E11" s="53">
        <v>29</v>
      </c>
      <c r="F11" s="2">
        <v>65.3</v>
      </c>
      <c r="G11" s="31">
        <v>4.2</v>
      </c>
      <c r="H11" s="5">
        <v>4.7</v>
      </c>
      <c r="I11" s="115">
        <v>6.7</v>
      </c>
      <c r="J11" s="116">
        <v>4</v>
      </c>
      <c r="K11" s="117">
        <v>2.6</v>
      </c>
      <c r="L11" s="118">
        <v>108.9</v>
      </c>
      <c r="M11" s="141">
        <f t="shared" si="0"/>
        <v>21.4</v>
      </c>
      <c r="N11" s="119">
        <v>89.3</v>
      </c>
      <c r="O11" s="53">
        <f t="shared" si="1"/>
        <v>50</v>
      </c>
      <c r="P11" s="106">
        <v>25.4</v>
      </c>
      <c r="Q11" s="2">
        <v>50.7</v>
      </c>
      <c r="R11" s="32">
        <v>56.6</v>
      </c>
      <c r="S11" s="2">
        <v>4.9000000000000004</v>
      </c>
      <c r="T11" s="116">
        <v>19.7</v>
      </c>
      <c r="U11" s="2">
        <v>12.4</v>
      </c>
      <c r="V11" s="2">
        <v>17.7</v>
      </c>
      <c r="W11" s="32">
        <v>3.2</v>
      </c>
      <c r="X11" s="2">
        <v>2.2999999999999998</v>
      </c>
      <c r="Y11" s="10">
        <v>38.1</v>
      </c>
      <c r="Z11" s="120">
        <v>3.6</v>
      </c>
      <c r="AA11" s="53">
        <v>84.899999999999991</v>
      </c>
      <c r="AB11" s="53">
        <v>50.4</v>
      </c>
      <c r="AC11" s="10">
        <v>6.9</v>
      </c>
      <c r="AD11" s="53">
        <v>34.200000000000003</v>
      </c>
      <c r="AE11" s="53">
        <f t="shared" si="2"/>
        <v>28.28</v>
      </c>
      <c r="AF11" s="53">
        <f t="shared" si="3"/>
        <v>-0.70619999999999861</v>
      </c>
      <c r="AG11" s="53">
        <f t="shared" si="4"/>
        <v>16.164999999999999</v>
      </c>
      <c r="AH11" s="53">
        <f t="shared" si="5"/>
        <v>15.949640000000002</v>
      </c>
    </row>
    <row r="12" spans="1:34" ht="15" thickBot="1" x14ac:dyDescent="0.35">
      <c r="A12" s="39" t="s">
        <v>34</v>
      </c>
      <c r="B12" s="53" t="s">
        <v>65</v>
      </c>
      <c r="C12" s="53" t="s">
        <v>66</v>
      </c>
      <c r="D12" s="53" t="s">
        <v>43</v>
      </c>
      <c r="E12" s="53">
        <v>38</v>
      </c>
      <c r="F12" s="39">
        <v>84.6</v>
      </c>
      <c r="G12" s="127">
        <v>3.8</v>
      </c>
      <c r="H12" s="41">
        <v>4.7</v>
      </c>
      <c r="I12" s="128">
        <v>6.6</v>
      </c>
      <c r="J12" s="129">
        <v>3.1</v>
      </c>
      <c r="K12" s="54">
        <v>3.5</v>
      </c>
      <c r="L12" s="130">
        <v>109</v>
      </c>
      <c r="M12" s="141">
        <f t="shared" si="0"/>
        <v>28.499999999999996</v>
      </c>
      <c r="N12" s="131">
        <v>86.9</v>
      </c>
      <c r="O12" s="53">
        <f t="shared" si="1"/>
        <v>64.300000000000011</v>
      </c>
      <c r="P12" s="39">
        <v>22.5</v>
      </c>
      <c r="Q12" s="39">
        <v>49.3</v>
      </c>
      <c r="R12" s="39">
        <v>53.3</v>
      </c>
      <c r="S12" s="39">
        <v>5.9</v>
      </c>
      <c r="T12" s="132">
        <v>8.4</v>
      </c>
      <c r="U12" s="43">
        <v>24</v>
      </c>
      <c r="V12" s="39">
        <v>19.899999999999999</v>
      </c>
      <c r="W12" s="39">
        <v>0.6</v>
      </c>
      <c r="X12" s="133">
        <v>2.9</v>
      </c>
      <c r="Y12" s="51">
        <v>38.6</v>
      </c>
      <c r="Z12" s="51">
        <v>2.9</v>
      </c>
      <c r="AA12" s="53">
        <v>70.899999999999991</v>
      </c>
      <c r="AB12" s="53">
        <v>49.7</v>
      </c>
      <c r="AC12" s="51">
        <v>3.5</v>
      </c>
      <c r="AD12" s="53">
        <v>32</v>
      </c>
      <c r="AE12" s="53">
        <f t="shared" si="2"/>
        <v>28.295000000000002</v>
      </c>
      <c r="AF12" s="53">
        <f t="shared" si="3"/>
        <v>6.7703000000000015</v>
      </c>
      <c r="AG12" s="53">
        <f t="shared" si="4"/>
        <v>16.455000000000002</v>
      </c>
      <c r="AH12" s="53">
        <f t="shared" si="5"/>
        <v>18.285590000000003</v>
      </c>
    </row>
    <row r="13" spans="1:34" ht="15.6" thickTop="1" thickBot="1" x14ac:dyDescent="0.35">
      <c r="A13" s="18" t="s">
        <v>50</v>
      </c>
      <c r="B13" s="53" t="s">
        <v>67</v>
      </c>
      <c r="C13" s="53" t="s">
        <v>68</v>
      </c>
      <c r="D13" s="53" t="s">
        <v>53</v>
      </c>
      <c r="E13" s="53">
        <v>31</v>
      </c>
      <c r="F13" s="18">
        <v>81.3</v>
      </c>
      <c r="G13" s="134">
        <v>3.8</v>
      </c>
      <c r="H13" s="135">
        <v>3.3</v>
      </c>
      <c r="I13" s="136">
        <v>4.9000000000000004</v>
      </c>
      <c r="J13" s="137">
        <v>4.4000000000000004</v>
      </c>
      <c r="K13" s="18">
        <v>0.5</v>
      </c>
      <c r="L13" s="18">
        <v>103</v>
      </c>
      <c r="M13" s="141">
        <f t="shared" si="0"/>
        <v>0</v>
      </c>
      <c r="N13" s="138">
        <v>98.3</v>
      </c>
      <c r="O13" s="53">
        <f t="shared" si="1"/>
        <v>7.1999999999999886</v>
      </c>
      <c r="P13" s="20">
        <v>28.8</v>
      </c>
      <c r="Q13" s="18">
        <v>47</v>
      </c>
      <c r="R13" s="18">
        <v>51.7</v>
      </c>
      <c r="S13" s="82">
        <v>2.4</v>
      </c>
      <c r="T13" s="18">
        <v>14.5</v>
      </c>
      <c r="U13" s="18">
        <v>17.899999999999999</v>
      </c>
      <c r="V13" s="139">
        <v>15.4</v>
      </c>
      <c r="W13" s="18">
        <v>1.6</v>
      </c>
      <c r="X13" s="18">
        <v>2.2999999999999998</v>
      </c>
      <c r="Y13" s="29">
        <v>33.799999999999997</v>
      </c>
      <c r="Z13" s="29">
        <v>2.7</v>
      </c>
      <c r="AA13" s="53">
        <v>77</v>
      </c>
      <c r="AB13" s="53">
        <v>50.2</v>
      </c>
      <c r="AC13" s="140">
        <v>12.8</v>
      </c>
      <c r="AD13" s="53">
        <v>29.099999999999998</v>
      </c>
      <c r="AE13" s="53">
        <f t="shared" si="2"/>
        <v>28.39</v>
      </c>
      <c r="AF13" s="53">
        <f t="shared" si="3"/>
        <v>3.1499999999999995</v>
      </c>
      <c r="AG13" s="53">
        <f t="shared" si="4"/>
        <v>7.0949999999999989</v>
      </c>
      <c r="AH13" s="53">
        <f t="shared" si="5"/>
        <v>14.429500000000001</v>
      </c>
    </row>
    <row r="14" spans="1:34" ht="15.6" thickTop="1" thickBot="1" x14ac:dyDescent="0.35">
      <c r="A14" s="56" t="s">
        <v>34</v>
      </c>
      <c r="B14" s="53" t="s">
        <v>44</v>
      </c>
      <c r="C14" s="53" t="s">
        <v>45</v>
      </c>
      <c r="D14" s="53" t="s">
        <v>46</v>
      </c>
      <c r="E14" s="53">
        <v>28</v>
      </c>
      <c r="F14" s="56">
        <v>72.599999999999994</v>
      </c>
      <c r="G14" s="57">
        <v>3.4</v>
      </c>
      <c r="H14" s="58">
        <v>4</v>
      </c>
      <c r="I14" s="59">
        <v>6.7</v>
      </c>
      <c r="J14" s="60">
        <v>4.3</v>
      </c>
      <c r="K14" s="61">
        <v>2.4</v>
      </c>
      <c r="L14" s="56">
        <v>105.6</v>
      </c>
      <c r="M14" s="141">
        <f t="shared" si="0"/>
        <v>7.1</v>
      </c>
      <c r="N14" s="62">
        <v>92.8</v>
      </c>
      <c r="O14" s="53">
        <f t="shared" si="1"/>
        <v>28.600000000000009</v>
      </c>
      <c r="P14" s="63">
        <v>27.3</v>
      </c>
      <c r="Q14" s="56">
        <v>51</v>
      </c>
      <c r="R14" s="64">
        <v>57.2</v>
      </c>
      <c r="S14" s="56">
        <v>6.8</v>
      </c>
      <c r="T14" s="65">
        <v>18.600000000000001</v>
      </c>
      <c r="U14" s="66">
        <v>22.6</v>
      </c>
      <c r="V14" s="56">
        <v>20.8</v>
      </c>
      <c r="W14" s="56">
        <v>3</v>
      </c>
      <c r="X14" s="67">
        <v>3.9</v>
      </c>
      <c r="Y14" s="68">
        <v>34.799999999999997</v>
      </c>
      <c r="Z14" s="68">
        <v>3.5</v>
      </c>
      <c r="AA14" s="53">
        <v>90.2</v>
      </c>
      <c r="AB14" s="53">
        <v>48.9</v>
      </c>
      <c r="AC14" s="69">
        <v>10.4</v>
      </c>
      <c r="AD14" s="53">
        <v>35.6</v>
      </c>
      <c r="AE14" s="53">
        <f t="shared" si="2"/>
        <v>30.040000000000003</v>
      </c>
      <c r="AF14" s="53">
        <f t="shared" si="3"/>
        <v>4.8255999999999997</v>
      </c>
      <c r="AG14" s="53">
        <f t="shared" si="4"/>
        <v>14.315</v>
      </c>
      <c r="AH14" s="53">
        <f t="shared" si="5"/>
        <v>17.758180000000003</v>
      </c>
    </row>
    <row r="15" spans="1:34" ht="15.6" thickTop="1" thickBot="1" x14ac:dyDescent="0.35">
      <c r="A15" s="56" t="s">
        <v>50</v>
      </c>
      <c r="B15" s="53" t="s">
        <v>57</v>
      </c>
      <c r="C15" s="53" t="s">
        <v>52</v>
      </c>
      <c r="D15" s="53" t="s">
        <v>53</v>
      </c>
      <c r="E15" s="53">
        <v>38</v>
      </c>
      <c r="F15" s="56">
        <v>51.9</v>
      </c>
      <c r="G15" s="95">
        <v>3</v>
      </c>
      <c r="H15" s="61">
        <v>3.2</v>
      </c>
      <c r="I15" s="58">
        <v>8.1</v>
      </c>
      <c r="J15" s="58">
        <v>5.6</v>
      </c>
      <c r="K15" s="61">
        <v>2.5</v>
      </c>
      <c r="L15" s="59">
        <v>121</v>
      </c>
      <c r="M15" s="141">
        <f t="shared" si="0"/>
        <v>78.5</v>
      </c>
      <c r="N15" s="104">
        <v>86.5</v>
      </c>
      <c r="O15" s="53">
        <f t="shared" si="1"/>
        <v>71.5</v>
      </c>
      <c r="P15" s="56">
        <v>20.5</v>
      </c>
      <c r="Q15" s="96">
        <v>57.1</v>
      </c>
      <c r="R15" s="97">
        <v>60</v>
      </c>
      <c r="S15" s="98">
        <v>2.6</v>
      </c>
      <c r="T15" s="99">
        <v>7.8</v>
      </c>
      <c r="U15" s="56">
        <v>10.9</v>
      </c>
      <c r="V15" s="100">
        <v>13.8</v>
      </c>
      <c r="W15" s="101">
        <v>0.3</v>
      </c>
      <c r="X15" s="98">
        <v>1.3</v>
      </c>
      <c r="Y15" s="102">
        <v>22.3</v>
      </c>
      <c r="Z15" s="68">
        <v>2.8</v>
      </c>
      <c r="AA15" s="53">
        <v>82.8</v>
      </c>
      <c r="AB15" s="53">
        <v>52.7</v>
      </c>
      <c r="AC15" s="103">
        <v>10.8</v>
      </c>
      <c r="AD15" s="53">
        <v>41.099999999999994</v>
      </c>
      <c r="AE15" s="53">
        <f t="shared" si="2"/>
        <v>25.615000000000002</v>
      </c>
      <c r="AF15" s="53">
        <f t="shared" si="3"/>
        <v>3.5699999999999871E-2</v>
      </c>
      <c r="AG15" s="53">
        <f t="shared" si="4"/>
        <v>15.959999999999997</v>
      </c>
      <c r="AH15" s="53">
        <f t="shared" si="5"/>
        <v>15.044710000000002</v>
      </c>
    </row>
    <row r="16" spans="1:34" ht="15.6" thickTop="1" thickBot="1" x14ac:dyDescent="0.35">
      <c r="A16" s="56" t="s">
        <v>50</v>
      </c>
      <c r="B16" s="53" t="s">
        <v>54</v>
      </c>
      <c r="C16" s="53" t="s">
        <v>55</v>
      </c>
      <c r="D16" s="53" t="s">
        <v>56</v>
      </c>
      <c r="E16" s="53">
        <v>28</v>
      </c>
      <c r="F16" s="56">
        <v>45.9</v>
      </c>
      <c r="G16" s="88">
        <v>2.9</v>
      </c>
      <c r="H16" s="59">
        <v>3.7</v>
      </c>
      <c r="I16" s="89">
        <v>10.6</v>
      </c>
      <c r="J16" s="63">
        <v>4.2</v>
      </c>
      <c r="K16" s="89">
        <v>6.4</v>
      </c>
      <c r="L16" s="90">
        <v>112</v>
      </c>
      <c r="M16" s="141">
        <f t="shared" si="0"/>
        <v>35.699999999999996</v>
      </c>
      <c r="N16" s="89">
        <v>83.6</v>
      </c>
      <c r="O16" s="53">
        <f t="shared" si="1"/>
        <v>85.8</v>
      </c>
      <c r="P16" s="90">
        <v>24.4</v>
      </c>
      <c r="Q16" s="58">
        <v>62.9</v>
      </c>
      <c r="R16" s="67">
        <v>65.5</v>
      </c>
      <c r="S16" s="58">
        <v>12.7</v>
      </c>
      <c r="T16" s="89">
        <v>27.3</v>
      </c>
      <c r="U16" s="56">
        <v>11.5</v>
      </c>
      <c r="V16" s="91">
        <v>24.1</v>
      </c>
      <c r="W16" s="89">
        <v>11.7</v>
      </c>
      <c r="X16" s="56">
        <v>2.2999999999999998</v>
      </c>
      <c r="Y16" s="92">
        <v>83.6</v>
      </c>
      <c r="Z16" s="93">
        <v>5.8</v>
      </c>
      <c r="AA16" s="53">
        <v>68.5</v>
      </c>
      <c r="AB16" s="53">
        <v>63.9</v>
      </c>
      <c r="AC16" s="94">
        <v>0.4</v>
      </c>
      <c r="AD16" s="53">
        <v>20</v>
      </c>
      <c r="AE16" s="53">
        <f t="shared" si="2"/>
        <v>34.36</v>
      </c>
      <c r="AF16" s="53">
        <f t="shared" si="3"/>
        <v>-9.7000000000000011</v>
      </c>
      <c r="AG16" s="53">
        <f t="shared" si="4"/>
        <v>32.159999999999997</v>
      </c>
      <c r="AH16" s="53">
        <f t="shared" si="5"/>
        <v>20.481999999999999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Ramkumar, Bala</dc:creator>
  <cp:lastModifiedBy>Ramkumar, Bala</cp:lastModifiedBy>
  <dcterms:created xsi:type="dcterms:W3CDTF">2026-02-07T04:45:48Z</dcterms:created>
  <dcterms:modified xsi:type="dcterms:W3CDTF">2026-02-11T00:33:38Z</dcterms:modified>
</cp:coreProperties>
</file>