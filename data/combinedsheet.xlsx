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ada\GitHub Portfolio\NBA Draft Prospect Superstar Predictor\data\"/>
    </mc:Choice>
  </mc:AlternateContent>
  <xr:revisionPtr revIDLastSave="0" documentId="13_ncr:1_{AF6E19A4-0AD1-4956-908F-E31144D4C904}" xr6:coauthVersionLast="47" xr6:coauthVersionMax="47" xr10:uidLastSave="{00000000-0000-0000-0000-000000000000}"/>
  <bookViews>
    <workbookView xWindow="-108" yWindow="-108" windowWidth="23256" windowHeight="12456" xr2:uid="{264EF50E-FEF0-40C8-8A0C-ECDD4436A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1" l="1"/>
  <c r="O18" i="1"/>
  <c r="O19" i="1"/>
  <c r="O20" i="1"/>
  <c r="O21" i="1"/>
  <c r="O22" i="1"/>
  <c r="O23" i="1"/>
  <c r="O24" i="1"/>
  <c r="O25" i="1"/>
  <c r="O26" i="1"/>
  <c r="O27" i="1"/>
  <c r="O28" i="1"/>
  <c r="O29" i="1"/>
  <c r="AG29" i="1" s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AG53" i="1" s="1"/>
  <c r="O54" i="1"/>
  <c r="O55" i="1"/>
  <c r="O56" i="1"/>
  <c r="O57" i="1"/>
  <c r="O58" i="1"/>
  <c r="O59" i="1"/>
  <c r="O60" i="1"/>
  <c r="O61" i="1"/>
  <c r="O62" i="1"/>
  <c r="O63" i="1"/>
  <c r="O64" i="1"/>
  <c r="O65" i="1"/>
  <c r="AG65" i="1" s="1"/>
  <c r="O66" i="1"/>
  <c r="O67" i="1"/>
  <c r="O68" i="1"/>
  <c r="O69" i="1"/>
  <c r="O70" i="1"/>
  <c r="O71" i="1"/>
  <c r="O72" i="1"/>
  <c r="O73" i="1"/>
  <c r="O74" i="1"/>
  <c r="O75" i="1"/>
  <c r="O76" i="1"/>
  <c r="O77" i="1"/>
  <c r="AG77" i="1" s="1"/>
  <c r="O78" i="1"/>
  <c r="O79" i="1"/>
  <c r="O80" i="1"/>
  <c r="O81" i="1"/>
  <c r="O82" i="1"/>
  <c r="O83" i="1"/>
  <c r="O84" i="1"/>
  <c r="O85" i="1"/>
  <c r="O86" i="1"/>
  <c r="O87" i="1"/>
  <c r="O88" i="1"/>
  <c r="O89" i="1"/>
  <c r="AG89" i="1" s="1"/>
  <c r="O90" i="1"/>
  <c r="O91" i="1"/>
  <c r="O92" i="1"/>
  <c r="O93" i="1"/>
  <c r="O94" i="1"/>
  <c r="O95" i="1"/>
  <c r="O96" i="1"/>
  <c r="O97" i="1"/>
  <c r="O98" i="1"/>
  <c r="O99" i="1"/>
  <c r="O100" i="1"/>
  <c r="O101" i="1"/>
  <c r="AG101" i="1" s="1"/>
  <c r="O102" i="1"/>
  <c r="O103" i="1"/>
  <c r="O104" i="1"/>
  <c r="O105" i="1"/>
  <c r="AG105" i="1" s="1"/>
  <c r="O106" i="1"/>
  <c r="O107" i="1"/>
  <c r="O108" i="1"/>
  <c r="O109" i="1"/>
  <c r="O110" i="1"/>
  <c r="O111" i="1"/>
  <c r="O112" i="1"/>
  <c r="O113" i="1"/>
  <c r="AG113" i="1" s="1"/>
  <c r="O114" i="1"/>
  <c r="O115" i="1"/>
  <c r="O116" i="1"/>
  <c r="O117" i="1"/>
  <c r="AG117" i="1" s="1"/>
  <c r="O118" i="1"/>
  <c r="O119" i="1"/>
  <c r="O120" i="1"/>
  <c r="O121" i="1"/>
  <c r="O122" i="1"/>
  <c r="O123" i="1"/>
  <c r="O124" i="1"/>
  <c r="O125" i="1"/>
  <c r="AG125" i="1" s="1"/>
  <c r="O126" i="1"/>
  <c r="AG126" i="1" s="1"/>
  <c r="O127" i="1"/>
  <c r="O128" i="1"/>
  <c r="O129" i="1"/>
  <c r="O130" i="1"/>
  <c r="AG130" i="1" s="1"/>
  <c r="O131" i="1"/>
  <c r="O132" i="1"/>
  <c r="O133" i="1"/>
  <c r="O134" i="1"/>
  <c r="O135" i="1"/>
  <c r="AG135" i="1" s="1"/>
  <c r="O136" i="1"/>
  <c r="O137" i="1"/>
  <c r="O138" i="1"/>
  <c r="O139" i="1"/>
  <c r="O140" i="1"/>
  <c r="O141" i="1"/>
  <c r="AG141" i="1" s="1"/>
  <c r="O142" i="1"/>
  <c r="O143" i="1"/>
  <c r="O144" i="1"/>
  <c r="AG144" i="1" s="1"/>
  <c r="O145" i="1"/>
  <c r="O146" i="1"/>
  <c r="O147" i="1"/>
  <c r="O148" i="1"/>
  <c r="O149" i="1"/>
  <c r="AG149" i="1" s="1"/>
  <c r="O150" i="1"/>
  <c r="AG150" i="1" s="1"/>
  <c r="O151" i="1"/>
  <c r="AG151" i="1" s="1"/>
  <c r="O152" i="1"/>
  <c r="AG152" i="1" s="1"/>
  <c r="O153" i="1"/>
  <c r="O154" i="1"/>
  <c r="O155" i="1"/>
  <c r="O156" i="1"/>
  <c r="AG156" i="1" s="1"/>
  <c r="O157" i="1"/>
  <c r="O158" i="1"/>
  <c r="O159" i="1"/>
  <c r="O160" i="1"/>
  <c r="O161" i="1"/>
  <c r="AG161" i="1" s="1"/>
  <c r="O162" i="1"/>
  <c r="O163" i="1"/>
  <c r="AG163" i="1" s="1"/>
  <c r="O164" i="1"/>
  <c r="AG164" i="1" s="1"/>
  <c r="O165" i="1"/>
  <c r="O166" i="1"/>
  <c r="AG155" i="1"/>
  <c r="AG145" i="1"/>
  <c r="AG143" i="1"/>
  <c r="AG136" i="1"/>
  <c r="AG134" i="1"/>
  <c r="AG132" i="1"/>
  <c r="AG131" i="1"/>
  <c r="AG121" i="1"/>
  <c r="AG120" i="1"/>
  <c r="AG119" i="1"/>
  <c r="AG111" i="1"/>
  <c r="AG108" i="1"/>
  <c r="AG107" i="1"/>
  <c r="AG99" i="1"/>
  <c r="AG96" i="1"/>
  <c r="AG95" i="1"/>
  <c r="AG86" i="1"/>
  <c r="AG84" i="1"/>
  <c r="AG83" i="1"/>
  <c r="AG80" i="1"/>
  <c r="AG76" i="1"/>
  <c r="AG75" i="1"/>
  <c r="AG74" i="1"/>
  <c r="AG73" i="1"/>
  <c r="AG72" i="1"/>
  <c r="AG71" i="1"/>
  <c r="AG68" i="1"/>
  <c r="AG64" i="1"/>
  <c r="AG63" i="1"/>
  <c r="AG61" i="1"/>
  <c r="AG59" i="1"/>
  <c r="AG48" i="1"/>
  <c r="AG47" i="1"/>
  <c r="AG44" i="1"/>
  <c r="AG37" i="1"/>
  <c r="AG36" i="1"/>
  <c r="AG35" i="1"/>
  <c r="AG27" i="1"/>
  <c r="AG26" i="1"/>
  <c r="AG25" i="1"/>
  <c r="AG24" i="1"/>
  <c r="AG23" i="1"/>
  <c r="AG19" i="1"/>
  <c r="AG28" i="1"/>
  <c r="AG39" i="1"/>
  <c r="AG51" i="1"/>
  <c r="AG52" i="1"/>
  <c r="AG85" i="1"/>
  <c r="AG87" i="1"/>
  <c r="AG98" i="1"/>
  <c r="AG112" i="1"/>
  <c r="AG122" i="1"/>
  <c r="AG123" i="1"/>
  <c r="AG124" i="1"/>
  <c r="AG133" i="1"/>
  <c r="AG137" i="1"/>
  <c r="AG157" i="1"/>
  <c r="AG159" i="1"/>
  <c r="AG160" i="1"/>
  <c r="AG166" i="1"/>
  <c r="AG140" i="1"/>
  <c r="AG116" i="1"/>
  <c r="AG109" i="1"/>
  <c r="AG102" i="1"/>
  <c r="AG92" i="1"/>
  <c r="AG78" i="1"/>
  <c r="AG55" i="1"/>
  <c r="AG50" i="1"/>
  <c r="AG49" i="1"/>
  <c r="AG38" i="1"/>
  <c r="AG32" i="1"/>
  <c r="AG18" i="1"/>
  <c r="AG21" i="1"/>
  <c r="AG33" i="1"/>
  <c r="AG40" i="1"/>
  <c r="AG41" i="1"/>
  <c r="AG57" i="1"/>
  <c r="AG69" i="1"/>
  <c r="AG81" i="1"/>
  <c r="AG93" i="1"/>
  <c r="AG100" i="1"/>
  <c r="AG129" i="1"/>
  <c r="AG147" i="1"/>
  <c r="AG148" i="1"/>
  <c r="AG153" i="1"/>
  <c r="AG165" i="1"/>
  <c r="AG62" i="1"/>
  <c r="AG82" i="1"/>
  <c r="AG88" i="1"/>
  <c r="AG94" i="1"/>
  <c r="AG106" i="1"/>
  <c r="AG110" i="1"/>
  <c r="AG118" i="1"/>
  <c r="AG142" i="1"/>
  <c r="AG146" i="1"/>
  <c r="AG154" i="1"/>
  <c r="AG158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7" i="1"/>
  <c r="AF166" i="1"/>
  <c r="AE166" i="1"/>
  <c r="AF165" i="1"/>
  <c r="AE165" i="1"/>
  <c r="AF164" i="1"/>
  <c r="AE164" i="1"/>
  <c r="AF163" i="1"/>
  <c r="AE163" i="1"/>
  <c r="AF162" i="1"/>
  <c r="AE162" i="1"/>
  <c r="AG162" i="1"/>
  <c r="AF161" i="1"/>
  <c r="AE161" i="1"/>
  <c r="AF160" i="1"/>
  <c r="AE160" i="1"/>
  <c r="AF159" i="1"/>
  <c r="AE159" i="1"/>
  <c r="AF158" i="1"/>
  <c r="AE158" i="1"/>
  <c r="AF157" i="1"/>
  <c r="AE157" i="1"/>
  <c r="AF156" i="1"/>
  <c r="AE156" i="1"/>
  <c r="AF155" i="1"/>
  <c r="AE155" i="1"/>
  <c r="AF154" i="1"/>
  <c r="AE154" i="1"/>
  <c r="AF153" i="1"/>
  <c r="AE153" i="1"/>
  <c r="AF152" i="1"/>
  <c r="AE152" i="1"/>
  <c r="AF151" i="1"/>
  <c r="AE151" i="1"/>
  <c r="AF150" i="1"/>
  <c r="AE150" i="1"/>
  <c r="AF149" i="1"/>
  <c r="AE149" i="1"/>
  <c r="AF148" i="1"/>
  <c r="AE148" i="1"/>
  <c r="AF147" i="1"/>
  <c r="AE147" i="1"/>
  <c r="AF146" i="1"/>
  <c r="AE146" i="1"/>
  <c r="AF145" i="1"/>
  <c r="AE145" i="1"/>
  <c r="AF144" i="1"/>
  <c r="AE144" i="1"/>
  <c r="AF143" i="1"/>
  <c r="AE143" i="1"/>
  <c r="AF142" i="1"/>
  <c r="AE142" i="1"/>
  <c r="AF141" i="1"/>
  <c r="AE141" i="1"/>
  <c r="AF140" i="1"/>
  <c r="AE140" i="1"/>
  <c r="AF139" i="1"/>
  <c r="AE139" i="1"/>
  <c r="AG139" i="1"/>
  <c r="AF138" i="1"/>
  <c r="AE138" i="1"/>
  <c r="AG138" i="1"/>
  <c r="AF137" i="1"/>
  <c r="AE137" i="1"/>
  <c r="AF136" i="1"/>
  <c r="AE136" i="1"/>
  <c r="AF135" i="1"/>
  <c r="AE135" i="1"/>
  <c r="AF134" i="1"/>
  <c r="AE134" i="1"/>
  <c r="AF133" i="1"/>
  <c r="AE133" i="1"/>
  <c r="AF132" i="1"/>
  <c r="AE132" i="1"/>
  <c r="AF131" i="1"/>
  <c r="AE131" i="1"/>
  <c r="AF130" i="1"/>
  <c r="AE130" i="1"/>
  <c r="AF129" i="1"/>
  <c r="AE129" i="1"/>
  <c r="AF128" i="1"/>
  <c r="AE128" i="1"/>
  <c r="AG128" i="1"/>
  <c r="AF127" i="1"/>
  <c r="AE127" i="1"/>
  <c r="AG127" i="1"/>
  <c r="AF126" i="1"/>
  <c r="AE126" i="1"/>
  <c r="AF125" i="1"/>
  <c r="AE125" i="1"/>
  <c r="AF124" i="1"/>
  <c r="AE124" i="1"/>
  <c r="AF123" i="1"/>
  <c r="AE123" i="1"/>
  <c r="AF122" i="1"/>
  <c r="AE122" i="1"/>
  <c r="AF121" i="1"/>
  <c r="AE121" i="1"/>
  <c r="AF120" i="1"/>
  <c r="AE120" i="1"/>
  <c r="AF119" i="1"/>
  <c r="AE119" i="1"/>
  <c r="AF118" i="1"/>
  <c r="AE118" i="1"/>
  <c r="AF117" i="1"/>
  <c r="AE117" i="1"/>
  <c r="AF116" i="1"/>
  <c r="AE116" i="1"/>
  <c r="AF115" i="1"/>
  <c r="AE115" i="1"/>
  <c r="AG115" i="1"/>
  <c r="AF114" i="1"/>
  <c r="AE114" i="1"/>
  <c r="AG114" i="1"/>
  <c r="AF113" i="1"/>
  <c r="AE113" i="1"/>
  <c r="AF112" i="1"/>
  <c r="AE112" i="1"/>
  <c r="AF111" i="1"/>
  <c r="AE111" i="1"/>
  <c r="AF110" i="1"/>
  <c r="AE110" i="1"/>
  <c r="AF109" i="1"/>
  <c r="AE109" i="1"/>
  <c r="AF108" i="1"/>
  <c r="AE108" i="1"/>
  <c r="AF107" i="1"/>
  <c r="AE107" i="1"/>
  <c r="AF106" i="1"/>
  <c r="AE106" i="1"/>
  <c r="AF105" i="1"/>
  <c r="AE105" i="1"/>
  <c r="AF104" i="1"/>
  <c r="AE104" i="1"/>
  <c r="AG104" i="1"/>
  <c r="AF103" i="1"/>
  <c r="AE103" i="1"/>
  <c r="AG103" i="1"/>
  <c r="AF102" i="1"/>
  <c r="AE102" i="1"/>
  <c r="AF101" i="1"/>
  <c r="AE101" i="1"/>
  <c r="AF100" i="1"/>
  <c r="AE100" i="1"/>
  <c r="AF99" i="1"/>
  <c r="AE99" i="1"/>
  <c r="AF98" i="1"/>
  <c r="AE98" i="1"/>
  <c r="AF97" i="1"/>
  <c r="AE97" i="1"/>
  <c r="AG97" i="1"/>
  <c r="AF96" i="1"/>
  <c r="AE96" i="1"/>
  <c r="AF95" i="1"/>
  <c r="AE95" i="1"/>
  <c r="AF94" i="1"/>
  <c r="AE94" i="1"/>
  <c r="AF93" i="1"/>
  <c r="AE93" i="1"/>
  <c r="AF92" i="1"/>
  <c r="AE92" i="1"/>
  <c r="AF91" i="1"/>
  <c r="AE91" i="1"/>
  <c r="AG91" i="1"/>
  <c r="AF90" i="1"/>
  <c r="AE90" i="1"/>
  <c r="AG90" i="1"/>
  <c r="AF89" i="1"/>
  <c r="AE89" i="1"/>
  <c r="AF88" i="1"/>
  <c r="AE88" i="1"/>
  <c r="AF87" i="1"/>
  <c r="AE87" i="1"/>
  <c r="AF86" i="1"/>
  <c r="AE86" i="1"/>
  <c r="AF85" i="1"/>
  <c r="AE85" i="1"/>
  <c r="AF84" i="1"/>
  <c r="AE84" i="1"/>
  <c r="AF83" i="1"/>
  <c r="AE83" i="1"/>
  <c r="AF82" i="1"/>
  <c r="AE82" i="1"/>
  <c r="AF81" i="1"/>
  <c r="AE81" i="1"/>
  <c r="AF80" i="1"/>
  <c r="AE80" i="1"/>
  <c r="AF79" i="1"/>
  <c r="AE79" i="1"/>
  <c r="AG79" i="1"/>
  <c r="AF78" i="1"/>
  <c r="AE78" i="1"/>
  <c r="AF77" i="1"/>
  <c r="AE77" i="1"/>
  <c r="AF76" i="1"/>
  <c r="AE76" i="1"/>
  <c r="AF75" i="1"/>
  <c r="AE75" i="1"/>
  <c r="AF74" i="1"/>
  <c r="AE74" i="1"/>
  <c r="AF73" i="1"/>
  <c r="AE73" i="1"/>
  <c r="AF72" i="1"/>
  <c r="AE72" i="1"/>
  <c r="AF71" i="1"/>
  <c r="AE71" i="1"/>
  <c r="AF70" i="1"/>
  <c r="AE70" i="1"/>
  <c r="AG70" i="1"/>
  <c r="AF69" i="1"/>
  <c r="AE69" i="1"/>
  <c r="AF68" i="1"/>
  <c r="AE68" i="1"/>
  <c r="AF67" i="1"/>
  <c r="AE67" i="1"/>
  <c r="AG67" i="1"/>
  <c r="AF66" i="1"/>
  <c r="AE66" i="1"/>
  <c r="AG66" i="1"/>
  <c r="AF65" i="1"/>
  <c r="AE65" i="1"/>
  <c r="AF64" i="1"/>
  <c r="AE64" i="1"/>
  <c r="AF63" i="1"/>
  <c r="AE63" i="1"/>
  <c r="AF62" i="1"/>
  <c r="AE62" i="1"/>
  <c r="AF61" i="1"/>
  <c r="AE61" i="1"/>
  <c r="AF60" i="1"/>
  <c r="AE60" i="1"/>
  <c r="AG60" i="1"/>
  <c r="AF59" i="1"/>
  <c r="AE59" i="1"/>
  <c r="AF58" i="1"/>
  <c r="AE58" i="1"/>
  <c r="AG58" i="1"/>
  <c r="AF57" i="1"/>
  <c r="AE57" i="1"/>
  <c r="AF56" i="1"/>
  <c r="AE56" i="1"/>
  <c r="AG56" i="1"/>
  <c r="AF55" i="1"/>
  <c r="AE55" i="1"/>
  <c r="AF54" i="1"/>
  <c r="AE54" i="1"/>
  <c r="AG54" i="1"/>
  <c r="AF53" i="1"/>
  <c r="AE53" i="1"/>
  <c r="AF52" i="1"/>
  <c r="AE52" i="1"/>
  <c r="AF51" i="1"/>
  <c r="AE51" i="1"/>
  <c r="AF50" i="1"/>
  <c r="AE50" i="1"/>
  <c r="AF49" i="1"/>
  <c r="AE49" i="1"/>
  <c r="AF48" i="1"/>
  <c r="AE48" i="1"/>
  <c r="AF47" i="1"/>
  <c r="AE47" i="1"/>
  <c r="AF46" i="1"/>
  <c r="AE46" i="1"/>
  <c r="AG46" i="1"/>
  <c r="AF45" i="1"/>
  <c r="AE45" i="1"/>
  <c r="AG45" i="1"/>
  <c r="AF44" i="1"/>
  <c r="AE44" i="1"/>
  <c r="AF43" i="1"/>
  <c r="AE43" i="1"/>
  <c r="AG43" i="1"/>
  <c r="AF42" i="1"/>
  <c r="AE42" i="1"/>
  <c r="AG42" i="1"/>
  <c r="AF41" i="1"/>
  <c r="AE41" i="1"/>
  <c r="AF40" i="1"/>
  <c r="AE40" i="1"/>
  <c r="AF39" i="1"/>
  <c r="AE39" i="1"/>
  <c r="AF38" i="1"/>
  <c r="AE38" i="1"/>
  <c r="AF37" i="1"/>
  <c r="AE37" i="1"/>
  <c r="AF36" i="1"/>
  <c r="AE36" i="1"/>
  <c r="AF35" i="1"/>
  <c r="AE35" i="1"/>
  <c r="AF34" i="1"/>
  <c r="AE34" i="1"/>
  <c r="AG34" i="1"/>
  <c r="AF33" i="1"/>
  <c r="AE33" i="1"/>
  <c r="AF32" i="1"/>
  <c r="AE32" i="1"/>
  <c r="AF31" i="1"/>
  <c r="AE31" i="1"/>
  <c r="AG31" i="1"/>
  <c r="AF30" i="1"/>
  <c r="AE30" i="1"/>
  <c r="AG30" i="1"/>
  <c r="AF29" i="1"/>
  <c r="AE29" i="1"/>
  <c r="AF28" i="1"/>
  <c r="AE28" i="1"/>
  <c r="AF27" i="1"/>
  <c r="AE27" i="1"/>
  <c r="AF26" i="1"/>
  <c r="AE26" i="1"/>
  <c r="AF25" i="1"/>
  <c r="AE25" i="1"/>
  <c r="AF24" i="1"/>
  <c r="AE24" i="1"/>
  <c r="AF23" i="1"/>
  <c r="AE23" i="1"/>
  <c r="AF22" i="1"/>
  <c r="AE22" i="1"/>
  <c r="AG22" i="1"/>
  <c r="AF21" i="1"/>
  <c r="AE21" i="1"/>
  <c r="AF20" i="1"/>
  <c r="AE20" i="1"/>
  <c r="AG20" i="1"/>
  <c r="AF19" i="1"/>
  <c r="AE19" i="1"/>
  <c r="AF18" i="1"/>
  <c r="AE18" i="1"/>
  <c r="AF17" i="1"/>
  <c r="AE17" i="1"/>
  <c r="AG17" i="1"/>
  <c r="O3" i="1"/>
  <c r="AG3" i="1" s="1"/>
  <c r="AH3" i="1" s="1"/>
  <c r="O4" i="1"/>
  <c r="AG4" i="1" s="1"/>
  <c r="O5" i="1"/>
  <c r="O6" i="1"/>
  <c r="O7" i="1"/>
  <c r="O8" i="1"/>
  <c r="AG8" i="1" s="1"/>
  <c r="O9" i="1"/>
  <c r="O10" i="1"/>
  <c r="AG10" i="1" s="1"/>
  <c r="O11" i="1"/>
  <c r="AG11" i="1" s="1"/>
  <c r="O12" i="1"/>
  <c r="AG12" i="1" s="1"/>
  <c r="O13" i="1"/>
  <c r="O14" i="1"/>
  <c r="O15" i="1"/>
  <c r="AG15" i="1" s="1"/>
  <c r="O16" i="1"/>
  <c r="AG16" i="1" s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AF5" i="1"/>
  <c r="AE5" i="1"/>
  <c r="AG5" i="1"/>
  <c r="AF15" i="1"/>
  <c r="AE15" i="1"/>
  <c r="AF11" i="1"/>
  <c r="AE11" i="1"/>
  <c r="AF16" i="1"/>
  <c r="AE16" i="1"/>
  <c r="AF9" i="1"/>
  <c r="AE9" i="1"/>
  <c r="AG9" i="1"/>
  <c r="AF13" i="1"/>
  <c r="AE13" i="1"/>
  <c r="AG13" i="1"/>
  <c r="AF12" i="1"/>
  <c r="AE12" i="1"/>
  <c r="AF7" i="1"/>
  <c r="AE7" i="1"/>
  <c r="AG7" i="1"/>
  <c r="AF6" i="1"/>
  <c r="AE6" i="1"/>
  <c r="AG6" i="1"/>
  <c r="AF14" i="1"/>
  <c r="AE14" i="1"/>
  <c r="AG14" i="1"/>
  <c r="AF3" i="1"/>
  <c r="AE3" i="1"/>
  <c r="AF10" i="1"/>
  <c r="AE10" i="1"/>
  <c r="AF4" i="1"/>
  <c r="AE4" i="1"/>
  <c r="AF2" i="1"/>
  <c r="AE2" i="1"/>
  <c r="AG2" i="1"/>
  <c r="AF8" i="1"/>
  <c r="AE8" i="1"/>
  <c r="AH20" i="1" l="1"/>
  <c r="AH26" i="1"/>
  <c r="AH29" i="1"/>
  <c r="AH35" i="1"/>
  <c r="AH38" i="1"/>
  <c r="AH41" i="1"/>
  <c r="AH44" i="1"/>
  <c r="AH47" i="1"/>
  <c r="AH50" i="1"/>
  <c r="AH53" i="1"/>
  <c r="AH62" i="1"/>
  <c r="AH65" i="1"/>
  <c r="AH74" i="1"/>
  <c r="AH83" i="1"/>
  <c r="AH89" i="1"/>
  <c r="AH92" i="1"/>
  <c r="AH95" i="1"/>
  <c r="AH98" i="1"/>
  <c r="AH101" i="1"/>
  <c r="AH104" i="1"/>
  <c r="AH107" i="1"/>
  <c r="AH110" i="1"/>
  <c r="AH113" i="1"/>
  <c r="AH116" i="1"/>
  <c r="AH119" i="1"/>
  <c r="AH122" i="1"/>
  <c r="AH125" i="1"/>
  <c r="AH128" i="1"/>
  <c r="AH131" i="1"/>
  <c r="AH134" i="1"/>
  <c r="AH137" i="1"/>
  <c r="AH140" i="1"/>
  <c r="AH143" i="1"/>
  <c r="AH146" i="1"/>
  <c r="AH149" i="1"/>
  <c r="AH152" i="1"/>
  <c r="AH155" i="1"/>
  <c r="AH158" i="1"/>
  <c r="AH161" i="1"/>
  <c r="AH164" i="1"/>
  <c r="AH32" i="1"/>
  <c r="AH86" i="1"/>
  <c r="AH56" i="1"/>
  <c r="AH77" i="1"/>
  <c r="AH59" i="1"/>
  <c r="AH39" i="1"/>
  <c r="AH162" i="1"/>
  <c r="AH30" i="1"/>
  <c r="AH18" i="1"/>
  <c r="AH21" i="1"/>
  <c r="AH24" i="1"/>
  <c r="AH27" i="1"/>
  <c r="AH33" i="1"/>
  <c r="AH36" i="1"/>
  <c r="AH42" i="1"/>
  <c r="AH45" i="1"/>
  <c r="AH48" i="1"/>
  <c r="AH51" i="1"/>
  <c r="AH54" i="1"/>
  <c r="AH57" i="1"/>
  <c r="AH60" i="1"/>
  <c r="AH63" i="1"/>
  <c r="AH66" i="1"/>
  <c r="AH69" i="1"/>
  <c r="AH72" i="1"/>
  <c r="AH75" i="1"/>
  <c r="AH78" i="1"/>
  <c r="AH81" i="1"/>
  <c r="AH84" i="1"/>
  <c r="AH87" i="1"/>
  <c r="AH90" i="1"/>
  <c r="AH93" i="1"/>
  <c r="AH96" i="1"/>
  <c r="AH99" i="1"/>
  <c r="AH102" i="1"/>
  <c r="AH105" i="1"/>
  <c r="AH108" i="1"/>
  <c r="AH111" i="1"/>
  <c r="AH114" i="1"/>
  <c r="AH117" i="1"/>
  <c r="AH120" i="1"/>
  <c r="AH123" i="1"/>
  <c r="AH126" i="1"/>
  <c r="AH129" i="1"/>
  <c r="AH132" i="1"/>
  <c r="AH135" i="1"/>
  <c r="AH138" i="1"/>
  <c r="AH141" i="1"/>
  <c r="AH144" i="1"/>
  <c r="AH147" i="1"/>
  <c r="AH150" i="1"/>
  <c r="AH153" i="1"/>
  <c r="AH156" i="1"/>
  <c r="AH159" i="1"/>
  <c r="AH165" i="1"/>
  <c r="AH68" i="1"/>
  <c r="AH17" i="1"/>
  <c r="AH71" i="1"/>
  <c r="AH25" i="1"/>
  <c r="AH31" i="1"/>
  <c r="AH40" i="1"/>
  <c r="AH52" i="1"/>
  <c r="AH79" i="1"/>
  <c r="AH127" i="1"/>
  <c r="AH23" i="1"/>
  <c r="AH80" i="1"/>
  <c r="AH19" i="1"/>
  <c r="AH22" i="1"/>
  <c r="AH28" i="1"/>
  <c r="AH37" i="1"/>
  <c r="AH43" i="1"/>
  <c r="AH46" i="1"/>
  <c r="AH49" i="1"/>
  <c r="AH55" i="1"/>
  <c r="AH58" i="1"/>
  <c r="AH61" i="1"/>
  <c r="AH64" i="1"/>
  <c r="AH67" i="1"/>
  <c r="AH70" i="1"/>
  <c r="AH73" i="1"/>
  <c r="AH76" i="1"/>
  <c r="AH82" i="1"/>
  <c r="AH85" i="1"/>
  <c r="AH88" i="1"/>
  <c r="AH91" i="1"/>
  <c r="AH94" i="1"/>
  <c r="AH97" i="1"/>
  <c r="AH100" i="1"/>
  <c r="AH103" i="1"/>
  <c r="AH106" i="1"/>
  <c r="AH109" i="1"/>
  <c r="AH112" i="1"/>
  <c r="AH115" i="1"/>
  <c r="AH118" i="1"/>
  <c r="AH121" i="1"/>
  <c r="AH124" i="1"/>
  <c r="AH130" i="1"/>
  <c r="AH133" i="1"/>
  <c r="AH136" i="1"/>
  <c r="AH139" i="1"/>
  <c r="AH142" i="1"/>
  <c r="AH145" i="1"/>
  <c r="AH148" i="1"/>
  <c r="AH151" i="1"/>
  <c r="AH154" i="1"/>
  <c r="AH157" i="1"/>
  <c r="AH160" i="1"/>
  <c r="AH163" i="1"/>
  <c r="AH166" i="1"/>
  <c r="AH34" i="1"/>
  <c r="AH2" i="1"/>
  <c r="AH7" i="1"/>
  <c r="AH9" i="1"/>
  <c r="AH4" i="1"/>
  <c r="AH15" i="1"/>
  <c r="AH14" i="1"/>
  <c r="AH16" i="1"/>
  <c r="AH10" i="1"/>
  <c r="AH13" i="1"/>
  <c r="AH6" i="1"/>
  <c r="AH12" i="1"/>
  <c r="AH8" i="1"/>
  <c r="AH5" i="1"/>
  <c r="AH11" i="1"/>
</calcChain>
</file>

<file path=xl/sharedStrings.xml><?xml version="1.0" encoding="utf-8"?>
<sst xmlns="http://schemas.openxmlformats.org/spreadsheetml/2006/main" count="860" uniqueCount="346">
  <si>
    <t>Grade</t>
  </si>
  <si>
    <t>Player</t>
  </si>
  <si>
    <t>Team</t>
  </si>
  <si>
    <t>Conf</t>
  </si>
  <si>
    <t>G</t>
  </si>
  <si>
    <t>Min%</t>
  </si>
  <si>
    <t>PRPG!</t>
  </si>
  <si>
    <t>D-PRPG</t>
  </si>
  <si>
    <t>BPM</t>
  </si>
  <si>
    <t>OBPM</t>
  </si>
  <si>
    <t>DBPM</t>
  </si>
  <si>
    <t>ORtg</t>
  </si>
  <si>
    <t>ORtgPctl</t>
  </si>
  <si>
    <t>DRtg</t>
  </si>
  <si>
    <t>DRtgPctl</t>
  </si>
  <si>
    <t>Usg%</t>
  </si>
  <si>
    <t>eFG%</t>
  </si>
  <si>
    <t>TS%</t>
  </si>
  <si>
    <t>OR%</t>
  </si>
  <si>
    <t>DR%</t>
  </si>
  <si>
    <t>Ast%</t>
  </si>
  <si>
    <t>TO%</t>
  </si>
  <si>
    <t>Blk%</t>
  </si>
  <si>
    <t>Stl%</t>
  </si>
  <si>
    <t>FTR</t>
  </si>
  <si>
    <t>FC/40</t>
  </si>
  <si>
    <t>FT%</t>
  </si>
  <si>
    <t>2P%</t>
  </si>
  <si>
    <t>3P/100</t>
  </si>
  <si>
    <t>3P%</t>
  </si>
  <si>
    <t>OIS</t>
  </si>
  <si>
    <t>COEI</t>
  </si>
  <si>
    <t>TWIS</t>
  </si>
  <si>
    <t>SS-Score</t>
  </si>
  <si>
    <t>Jr</t>
  </si>
  <si>
    <t>Kemba Walker</t>
  </si>
  <si>
    <t>Connecticut</t>
  </si>
  <si>
    <t>BE</t>
  </si>
  <si>
    <t>Stephen Curry</t>
  </si>
  <si>
    <t>Davidson</t>
  </si>
  <si>
    <t>SC</t>
  </si>
  <si>
    <t>So</t>
  </si>
  <si>
    <t>James Harden</t>
  </si>
  <si>
    <t>Arizona St.</t>
  </si>
  <si>
    <t>P12</t>
  </si>
  <si>
    <t>Damian Lillard</t>
  </si>
  <si>
    <t>Weber St.</t>
  </si>
  <si>
    <t>BSky</t>
  </si>
  <si>
    <t>Fr</t>
  </si>
  <si>
    <t>Anthony Davis</t>
  </si>
  <si>
    <t>Kentucky</t>
  </si>
  <si>
    <t>SEC</t>
  </si>
  <si>
    <t>Sr</t>
  </si>
  <si>
    <t>Jimmy Butler</t>
  </si>
  <si>
    <t>Marquette</t>
  </si>
  <si>
    <t>Isaiah Thomas</t>
  </si>
  <si>
    <t>Washington</t>
  </si>
  <si>
    <t>Kawhi Leonard</t>
  </si>
  <si>
    <t>San Diego St.</t>
  </si>
  <si>
    <t>MWC</t>
  </si>
  <si>
    <t>Donovan Mitchell</t>
  </si>
  <si>
    <t>Louisville</t>
  </si>
  <si>
    <t>ACC</t>
  </si>
  <si>
    <t>Jayson Tatum</t>
  </si>
  <si>
    <t>Duke</t>
  </si>
  <si>
    <t>Russell Westbrook</t>
  </si>
  <si>
    <t>UCLA</t>
  </si>
  <si>
    <t>Anthony Edwards</t>
  </si>
  <si>
    <t>Georgia</t>
  </si>
  <si>
    <t>Paul George</t>
  </si>
  <si>
    <t>Fresno St.</t>
  </si>
  <si>
    <t>WAC</t>
  </si>
  <si>
    <t>Devin Booker</t>
  </si>
  <si>
    <t>Joel Embiid</t>
  </si>
  <si>
    <t>Kansas</t>
  </si>
  <si>
    <t>B12</t>
  </si>
  <si>
    <t>PlayerType</t>
  </si>
  <si>
    <t>Superstar</t>
  </si>
  <si>
    <t>Jeremy Fears Jr.</t>
  </si>
  <si>
    <t>Michigan St.</t>
  </si>
  <si>
    <t>B10</t>
  </si>
  <si>
    <t>Quadir Copeland</t>
  </si>
  <si>
    <t>N.C. State</t>
  </si>
  <si>
    <t>Braden Smith</t>
  </si>
  <si>
    <t>Purdue</t>
  </si>
  <si>
    <t>Silas Demary Jr.</t>
  </si>
  <si>
    <t>Daeshun Ruffin</t>
  </si>
  <si>
    <t>Jackson St.</t>
  </si>
  <si>
    <t>SWAC</t>
  </si>
  <si>
    <t>Cameron Boozer</t>
  </si>
  <si>
    <t>Kingston Flemings</t>
  </si>
  <si>
    <t>Houston</t>
  </si>
  <si>
    <t>Joshua Jefferson</t>
  </si>
  <si>
    <t>Iowa St.</t>
  </si>
  <si>
    <t>Christian Anderson</t>
  </si>
  <si>
    <t>Texas Tech</t>
  </si>
  <si>
    <t>Zuby Ejiofor</t>
  </si>
  <si>
    <t>St. John's</t>
  </si>
  <si>
    <t>Labaron Philon</t>
  </si>
  <si>
    <t>Alabama</t>
  </si>
  <si>
    <t>Duke Miles</t>
  </si>
  <si>
    <t>Vanderbilt</t>
  </si>
  <si>
    <t>Caleb Wilson</t>
  </si>
  <si>
    <t>North Carolina</t>
  </si>
  <si>
    <t>Tyler Tanner</t>
  </si>
  <si>
    <t>Boopie Miller</t>
  </si>
  <si>
    <t>SMU</t>
  </si>
  <si>
    <t>Javontae Campbell</t>
  </si>
  <si>
    <t>Bowling Green</t>
  </si>
  <si>
    <t>MAC</t>
  </si>
  <si>
    <t>Ja'Kobi Gillespie</t>
  </si>
  <si>
    <t>Tennessee</t>
  </si>
  <si>
    <t>Rafael Castro</t>
  </si>
  <si>
    <t>George Washington</t>
  </si>
  <si>
    <t>A10</t>
  </si>
  <si>
    <t>Jaden Bradley</t>
  </si>
  <si>
    <t>Arizona</t>
  </si>
  <si>
    <t>AJ Dybantsa</t>
  </si>
  <si>
    <t>BYU</t>
  </si>
  <si>
    <t>Yaxel Lendeborg</t>
  </si>
  <si>
    <t>Michigan</t>
  </si>
  <si>
    <t>Maurice Odum</t>
  </si>
  <si>
    <t>Bennett Stirtz</t>
  </si>
  <si>
    <t>Iowa</t>
  </si>
  <si>
    <t>Robbie Avila</t>
  </si>
  <si>
    <t>Saint Louis</t>
  </si>
  <si>
    <t>Dailyn Swain</t>
  </si>
  <si>
    <t>Texas</t>
  </si>
  <si>
    <t>Flory Bidunga</t>
  </si>
  <si>
    <t>Themus Fulks</t>
  </si>
  <si>
    <t>UCF</t>
  </si>
  <si>
    <t>Keaton Wagler</t>
  </si>
  <si>
    <t>Illinois</t>
  </si>
  <si>
    <t>Morez Johnson Jr.</t>
  </si>
  <si>
    <t>Tavari Johnson</t>
  </si>
  <si>
    <t>Akron</t>
  </si>
  <si>
    <t>Tre Donaldson</t>
  </si>
  <si>
    <t>Miami FL</t>
  </si>
  <si>
    <t>Quinn Denker</t>
  </si>
  <si>
    <t>Northern Colorado</t>
  </si>
  <si>
    <t>Keyshawn Hall</t>
  </si>
  <si>
    <t>Auburn</t>
  </si>
  <si>
    <t>Jalen Cox</t>
  </si>
  <si>
    <t>Colgate</t>
  </si>
  <si>
    <t>Pat</t>
  </si>
  <si>
    <t>Graham Ike</t>
  </si>
  <si>
    <t>Gonzaga</t>
  </si>
  <si>
    <t>WCC</t>
  </si>
  <si>
    <t>Dedan Thomas Jr.</t>
  </si>
  <si>
    <t>LSU</t>
  </si>
  <si>
    <t>Darius Acuff Jr.</t>
  </si>
  <si>
    <t>Arkansas</t>
  </si>
  <si>
    <t>Malik Reneau</t>
  </si>
  <si>
    <t>Joshua Dent</t>
  </si>
  <si>
    <t>Saint Mary's</t>
  </si>
  <si>
    <t>B.J. Edwards</t>
  </si>
  <si>
    <t>Baraka Okojie</t>
  </si>
  <si>
    <t>Mercer</t>
  </si>
  <si>
    <t>Chad Baker-Mazara</t>
  </si>
  <si>
    <t>USC</t>
  </si>
  <si>
    <t>Jaquan Johnson</t>
  </si>
  <si>
    <t>Bradley</t>
  </si>
  <si>
    <t>MVC</t>
  </si>
  <si>
    <t>Brody Robinson</t>
  </si>
  <si>
    <t>Oakland</t>
  </si>
  <si>
    <t>Horz</t>
  </si>
  <si>
    <t>Tamin Lipsey</t>
  </si>
  <si>
    <t>Henri Veesaar</t>
  </si>
  <si>
    <t>Mason Falslev</t>
  </si>
  <si>
    <t>Utah St.</t>
  </si>
  <si>
    <t>Brayden Burries</t>
  </si>
  <si>
    <t>Colby Garland</t>
  </si>
  <si>
    <t>San Jose St.</t>
  </si>
  <si>
    <t>JT Toppin</t>
  </si>
  <si>
    <t>PJ Haggerty</t>
  </si>
  <si>
    <t>Kansas St.</t>
  </si>
  <si>
    <t>Ezra Ausar</t>
  </si>
  <si>
    <t>Robert Wright III</t>
  </si>
  <si>
    <t>Oscar Cluff</t>
  </si>
  <si>
    <t>Richie Saunders</t>
  </si>
  <si>
    <t>Hannes Steinbach</t>
  </si>
  <si>
    <t>Sam Hoiberg</t>
  </si>
  <si>
    <t>Nebraska</t>
  </si>
  <si>
    <t>Dior Johnson</t>
  </si>
  <si>
    <t>Tarleton St.</t>
  </si>
  <si>
    <t>Nick Boyd</t>
  </si>
  <si>
    <t>Wisconsin</t>
  </si>
  <si>
    <t>Logan Duncomb</t>
  </si>
  <si>
    <t>Winthrop</t>
  </si>
  <si>
    <t>BSth</t>
  </si>
  <si>
    <t>Teagan Moore</t>
  </si>
  <si>
    <t>Western Kentucky</t>
  </si>
  <si>
    <t>CUSA</t>
  </si>
  <si>
    <t>Paulius Murauskas</t>
  </si>
  <si>
    <t>Mark Mitchell</t>
  </si>
  <si>
    <t>Missouri</t>
  </si>
  <si>
    <t>Ebuka Okorie</t>
  </si>
  <si>
    <t>Stanford</t>
  </si>
  <si>
    <t>Nick Townsend</t>
  </si>
  <si>
    <t>Yale</t>
  </si>
  <si>
    <t>Ivy</t>
  </si>
  <si>
    <t>Tre White</t>
  </si>
  <si>
    <t>Cade Tyson</t>
  </si>
  <si>
    <t>Minnesota</t>
  </si>
  <si>
    <t>Bruce Thornton</t>
  </si>
  <si>
    <t>Ohio St.</t>
  </si>
  <si>
    <t>Ryan Conwell</t>
  </si>
  <si>
    <t>Terrence Brown</t>
  </si>
  <si>
    <t>Utah</t>
  </si>
  <si>
    <t>Braden Huff</t>
  </si>
  <si>
    <t>Trey Kaufman-Renn</t>
  </si>
  <si>
    <t>Cameron Carr</t>
  </si>
  <si>
    <t>Baylor</t>
  </si>
  <si>
    <t>Kyle Jorgensen</t>
  </si>
  <si>
    <t>Colorado St.</t>
  </si>
  <si>
    <t>Nolan Winter</t>
  </si>
  <si>
    <t>Rowan Brumbaugh</t>
  </si>
  <si>
    <t>Tulane</t>
  </si>
  <si>
    <t>Amer</t>
  </si>
  <si>
    <t>Thomas Haugh</t>
  </si>
  <si>
    <t>Florida</t>
  </si>
  <si>
    <t>Jackson Paveletzke</t>
  </si>
  <si>
    <t>Ohio</t>
  </si>
  <si>
    <t>Terrence Hill Jr.</t>
  </si>
  <si>
    <t>VCU</t>
  </si>
  <si>
    <t>Milan Momcilovic</t>
  </si>
  <si>
    <t>Cruz Davis</t>
  </si>
  <si>
    <t>Hofstra</t>
  </si>
  <si>
    <t>CAA</t>
  </si>
  <si>
    <t>Ven-Allen Lubin</t>
  </si>
  <si>
    <t>Donnie Freeman</t>
  </si>
  <si>
    <t>Syracuse</t>
  </si>
  <si>
    <t>Tijan Saine Jr.</t>
  </si>
  <si>
    <t>Juke Harris</t>
  </si>
  <si>
    <t>Wake Forest</t>
  </si>
  <si>
    <t>Thijs De Ridder</t>
  </si>
  <si>
    <t>Virginia</t>
  </si>
  <si>
    <t>Dominique Daniels Jr.</t>
  </si>
  <si>
    <t>Cal Baptist</t>
  </si>
  <si>
    <t>Jadis Jones</t>
  </si>
  <si>
    <t>Lindenwood</t>
  </si>
  <si>
    <t>OVC</t>
  </si>
  <si>
    <t>Josh Hubbard</t>
  </si>
  <si>
    <t>Mississippi St.</t>
  </si>
  <si>
    <t>Duke Brennan</t>
  </si>
  <si>
    <t>Villanova</t>
  </si>
  <si>
    <t>Daniel Freitag</t>
  </si>
  <si>
    <t>Buffalo</t>
  </si>
  <si>
    <t>Kylan Boswell</t>
  </si>
  <si>
    <t>Aden Holloway</t>
  </si>
  <si>
    <t>Tyler Bilodeau</t>
  </si>
  <si>
    <t>Emanuel Sharp</t>
  </si>
  <si>
    <t>Isaiah Johnson</t>
  </si>
  <si>
    <t>Colorado</t>
  </si>
  <si>
    <t>Lamar Wilkerson</t>
  </si>
  <si>
    <t>Indiana</t>
  </si>
  <si>
    <t>Pryce Sandfort</t>
  </si>
  <si>
    <t>Alex Karaban</t>
  </si>
  <si>
    <t>Nick Martinelli</t>
  </si>
  <si>
    <t>Northwestern</t>
  </si>
  <si>
    <t>Corey Camper Jr.</t>
  </si>
  <si>
    <t>Nevada</t>
  </si>
  <si>
    <t>Kory Mincy</t>
  </si>
  <si>
    <t>George Mason</t>
  </si>
  <si>
    <t>John Blackwell</t>
  </si>
  <si>
    <t>David Mirkovic</t>
  </si>
  <si>
    <t>David Green</t>
  </si>
  <si>
    <t>Tulsa</t>
  </si>
  <si>
    <t>Larry Johnson</t>
  </si>
  <si>
    <t>McNeese St.</t>
  </si>
  <si>
    <t>Slnd</t>
  </si>
  <si>
    <t>Jayden Stone</t>
  </si>
  <si>
    <t>Kamrin Oriol</t>
  </si>
  <si>
    <t>North Florida</t>
  </si>
  <si>
    <t>ASun</t>
  </si>
  <si>
    <t>Christian Hammond</t>
  </si>
  <si>
    <t>Santa Clara</t>
  </si>
  <si>
    <t>Isaac Celiscar</t>
  </si>
  <si>
    <t>Trey Green</t>
  </si>
  <si>
    <t>Preston Edmead</t>
  </si>
  <si>
    <t>Jamal Fuller</t>
  </si>
  <si>
    <t>LIU</t>
  </si>
  <si>
    <t>NEC</t>
  </si>
  <si>
    <t>Terry Anderson</t>
  </si>
  <si>
    <t>High Point</t>
  </si>
  <si>
    <t>Chandler Cuthrell</t>
  </si>
  <si>
    <t>Elon</t>
  </si>
  <si>
    <t>Tariq Francis</t>
  </si>
  <si>
    <t>Rutgers</t>
  </si>
  <si>
    <t>Tyler Nickel</t>
  </si>
  <si>
    <t>Barrington Hargress</t>
  </si>
  <si>
    <t>Xzayvier Brown</t>
  </si>
  <si>
    <t>Oklahoma</t>
  </si>
  <si>
    <t>John Mobley Jr.</t>
  </si>
  <si>
    <t>Elias Ralph</t>
  </si>
  <si>
    <t>Pacific</t>
  </si>
  <si>
    <t>Nijel Pack</t>
  </si>
  <si>
    <t>Jason Edwards</t>
  </si>
  <si>
    <t>Providence</t>
  </si>
  <si>
    <t>Meleek Thomas</t>
  </si>
  <si>
    <t>MJ Collins</t>
  </si>
  <si>
    <t>Hamad Mousa</t>
  </si>
  <si>
    <t>Cal Poly</t>
  </si>
  <si>
    <t>BW</t>
  </si>
  <si>
    <t>Jed Miller</t>
  </si>
  <si>
    <t>Montana St.</t>
  </si>
  <si>
    <t>Paul McNeil, Jr.</t>
  </si>
  <si>
    <t>Anthony Roy</t>
  </si>
  <si>
    <t>Oklahoma St.</t>
  </si>
  <si>
    <t>Ethan Potter</t>
  </si>
  <si>
    <t>Utah Tech</t>
  </si>
  <si>
    <t>Jakobi Heady</t>
  </si>
  <si>
    <t>Bethune Cookman</t>
  </si>
  <si>
    <t>Jake Hall</t>
  </si>
  <si>
    <t>New Mexico</t>
  </si>
  <si>
    <t>Miles Barnstable</t>
  </si>
  <si>
    <t>DeSean Goode</t>
  </si>
  <si>
    <t>Robert Morris</t>
  </si>
  <si>
    <t>Ruben Dominguez</t>
  </si>
  <si>
    <t>Texas A&amp;M</t>
  </si>
  <si>
    <t>D.J. Smith</t>
  </si>
  <si>
    <t>Campbell</t>
  </si>
  <si>
    <t>Finley Bizjack</t>
  </si>
  <si>
    <t>Butler</t>
  </si>
  <si>
    <t>Lewis Walker</t>
  </si>
  <si>
    <t>North Carolina A&amp;T</t>
  </si>
  <si>
    <t>Donovan Atwell</t>
  </si>
  <si>
    <t>Jack Karasinski</t>
  </si>
  <si>
    <t>Bellarmine</t>
  </si>
  <si>
    <t>Jake Fiegen</t>
  </si>
  <si>
    <t>Cornell</t>
  </si>
  <si>
    <t>Kenyon Giles</t>
  </si>
  <si>
    <t>Wichita St.</t>
  </si>
  <si>
    <t>Cooper Noard</t>
  </si>
  <si>
    <t>Jaylin Sellers</t>
  </si>
  <si>
    <t>Camden Heide</t>
  </si>
  <si>
    <t>Don McHenry</t>
  </si>
  <si>
    <t>Ryan Prather Jr.</t>
  </si>
  <si>
    <t>Brett Decker Jr.</t>
  </si>
  <si>
    <t>Liberty</t>
  </si>
  <si>
    <t>Gavin Sykes</t>
  </si>
  <si>
    <t>Long Beach St.</t>
  </si>
  <si>
    <t>Carson Johnson</t>
  </si>
  <si>
    <t>Denver</t>
  </si>
  <si>
    <t>Sum</t>
  </si>
  <si>
    <t>Prospect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</si>
</sst>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6"/>
      <color rgb="FFFFFFFF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ptos Narrow"/>
      <family val="2"/>
      <scheme val="minor"/>
    </font>
    <font>
      <sz val="7"/>
      <color rgb="FF2100B7"/>
      <name val="Arial"/>
      <family val="2"/>
    </font>
    <font>
      <b/>
      <sz val="7"/>
      <color rgb="FF2100B7"/>
      <name val="Arial"/>
      <family val="2"/>
    </font>
  </fonts>
  <fills count="109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9FBFF"/>
        <bgColor indexed="64"/>
      </patternFill>
    </fill>
    <fill>
      <patternFill patternType="solid">
        <fgColor rgb="FFA5D9B4"/>
        <bgColor indexed="64"/>
      </patternFill>
    </fill>
    <fill>
      <patternFill patternType="solid">
        <fgColor rgb="FFBEE3C9"/>
        <bgColor indexed="64"/>
      </patternFill>
    </fill>
    <fill>
      <patternFill patternType="solid">
        <fgColor rgb="FFBBE2C7"/>
        <bgColor indexed="64"/>
      </patternFill>
    </fill>
    <fill>
      <patternFill patternType="solid">
        <fgColor rgb="FFB7E0C3"/>
        <bgColor indexed="64"/>
      </patternFill>
    </fill>
    <fill>
      <patternFill patternType="solid">
        <fgColor rgb="FFA9DAB7"/>
        <bgColor indexed="64"/>
      </patternFill>
    </fill>
    <fill>
      <patternFill patternType="solid">
        <fgColor rgb="FFAFDDBC"/>
        <bgColor indexed="64"/>
      </patternFill>
    </fill>
    <fill>
      <patternFill patternType="solid">
        <fgColor rgb="FFBDE3C8"/>
        <bgColor indexed="64"/>
      </patternFill>
    </fill>
    <fill>
      <patternFill patternType="solid">
        <fgColor rgb="FFFBF9FC"/>
        <bgColor indexed="64"/>
      </patternFill>
    </fill>
    <fill>
      <patternFill patternType="solid">
        <fgColor rgb="FFAEDDBC"/>
        <bgColor indexed="64"/>
      </patternFill>
    </fill>
    <fill>
      <patternFill patternType="solid">
        <fgColor rgb="FFE8F4EE"/>
        <bgColor indexed="64"/>
      </patternFill>
    </fill>
    <fill>
      <patternFill patternType="solid">
        <fgColor rgb="FFABDCB9"/>
        <bgColor indexed="64"/>
      </patternFill>
    </fill>
    <fill>
      <patternFill patternType="solid">
        <fgColor rgb="FFAADBB9"/>
        <bgColor indexed="64"/>
      </patternFill>
    </fill>
    <fill>
      <patternFill patternType="solid">
        <fgColor rgb="FFE2F2E9"/>
        <bgColor indexed="64"/>
      </patternFill>
    </fill>
    <fill>
      <patternFill patternType="solid">
        <fgColor rgb="FFC4E5CE"/>
        <bgColor indexed="64"/>
      </patternFill>
    </fill>
    <fill>
      <patternFill patternType="solid">
        <fgColor rgb="FFFBD9DC"/>
        <bgColor indexed="64"/>
      </patternFill>
    </fill>
    <fill>
      <patternFill patternType="solid">
        <fgColor rgb="FFD6EDDE"/>
        <bgColor indexed="64"/>
      </patternFill>
    </fill>
    <fill>
      <patternFill patternType="solid">
        <fgColor rgb="FFE0F1E7"/>
        <bgColor indexed="64"/>
      </patternFill>
    </fill>
    <fill>
      <patternFill patternType="solid">
        <fgColor rgb="FFC1E4CC"/>
        <bgColor indexed="64"/>
      </patternFill>
    </fill>
    <fill>
      <patternFill patternType="solid">
        <fgColor rgb="FFF5F9F9"/>
        <bgColor indexed="64"/>
      </patternFill>
    </fill>
    <fill>
      <patternFill patternType="solid">
        <fgColor rgb="FFE6F3EC"/>
        <bgColor indexed="64"/>
      </patternFill>
    </fill>
    <fill>
      <patternFill patternType="solid">
        <fgColor rgb="FFB7E1C4"/>
        <bgColor indexed="64"/>
      </patternFill>
    </fill>
    <fill>
      <patternFill patternType="solid">
        <fgColor rgb="FFEFF7F3"/>
        <bgColor indexed="64"/>
      </patternFill>
    </fill>
    <fill>
      <patternFill patternType="solid">
        <fgColor rgb="FFDBEFE3"/>
        <bgColor indexed="64"/>
      </patternFill>
    </fill>
    <fill>
      <patternFill patternType="solid">
        <fgColor rgb="FFB1DEBF"/>
        <bgColor indexed="64"/>
      </patternFill>
    </fill>
    <fill>
      <patternFill patternType="solid">
        <fgColor rgb="FFFBE5E8"/>
        <bgColor indexed="64"/>
      </patternFill>
    </fill>
    <fill>
      <patternFill patternType="solid">
        <fgColor rgb="FFB0DEBE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rgb="FFFACACD"/>
        <bgColor indexed="64"/>
      </patternFill>
    </fill>
    <fill>
      <patternFill patternType="solid">
        <fgColor rgb="FFD5EDDE"/>
        <bgColor indexed="64"/>
      </patternFill>
    </fill>
    <fill>
      <patternFill patternType="solid">
        <fgColor rgb="FFDAEEE1"/>
        <bgColor indexed="64"/>
      </patternFill>
    </fill>
    <fill>
      <patternFill patternType="solid">
        <fgColor rgb="FFBAE2C6"/>
        <bgColor indexed="64"/>
      </patternFill>
    </fill>
    <fill>
      <patternFill patternType="solid">
        <fgColor rgb="FFFBFCFE"/>
        <bgColor indexed="64"/>
      </patternFill>
    </fill>
    <fill>
      <patternFill patternType="solid">
        <fgColor rgb="FFFBE7EA"/>
        <bgColor indexed="64"/>
      </patternFill>
    </fill>
    <fill>
      <patternFill patternType="solid">
        <fgColor rgb="FFB5DFC2"/>
        <bgColor indexed="64"/>
      </patternFill>
    </fill>
    <fill>
      <patternFill patternType="solid">
        <fgColor rgb="FFCDE9D7"/>
        <bgColor indexed="64"/>
      </patternFill>
    </fill>
    <fill>
      <patternFill patternType="solid">
        <fgColor rgb="FFCFEAD8"/>
        <bgColor indexed="64"/>
      </patternFill>
    </fill>
    <fill>
      <patternFill patternType="solid">
        <fgColor rgb="FFFBF6F9"/>
        <bgColor indexed="64"/>
      </patternFill>
    </fill>
    <fill>
      <patternFill patternType="solid">
        <fgColor rgb="FFFBEBEE"/>
        <bgColor indexed="64"/>
      </patternFill>
    </fill>
    <fill>
      <patternFill patternType="solid">
        <fgColor rgb="FFF8FBFC"/>
        <bgColor indexed="64"/>
      </patternFill>
    </fill>
    <fill>
      <patternFill patternType="solid">
        <fgColor rgb="FFD0EAD9"/>
        <bgColor indexed="64"/>
      </patternFill>
    </fill>
    <fill>
      <patternFill patternType="solid">
        <fgColor rgb="FFA8DAB6"/>
        <bgColor indexed="64"/>
      </patternFill>
    </fill>
    <fill>
      <patternFill patternType="solid">
        <fgColor rgb="FFF2F8F6"/>
        <bgColor indexed="64"/>
      </patternFill>
    </fill>
    <fill>
      <patternFill patternType="solid">
        <fgColor rgb="FFC6E7D1"/>
        <bgColor indexed="64"/>
      </patternFill>
    </fill>
    <fill>
      <patternFill patternType="solid">
        <fgColor rgb="FFFBE1E4"/>
        <bgColor indexed="64"/>
      </patternFill>
    </fill>
    <fill>
      <patternFill patternType="solid">
        <fgColor rgb="FFCAE8D4"/>
        <bgColor indexed="64"/>
      </patternFill>
    </fill>
    <fill>
      <patternFill patternType="solid">
        <fgColor rgb="FFFBFAFD"/>
        <bgColor indexed="64"/>
      </patternFill>
    </fill>
    <fill>
      <patternFill patternType="solid">
        <fgColor rgb="FFC7E7D1"/>
        <bgColor indexed="64"/>
      </patternFill>
    </fill>
    <fill>
      <patternFill patternType="solid">
        <fgColor rgb="FFF1F8F6"/>
        <bgColor indexed="64"/>
      </patternFill>
    </fill>
    <fill>
      <patternFill patternType="solid">
        <fgColor rgb="FFEBF5F0"/>
        <bgColor indexed="64"/>
      </patternFill>
    </fill>
    <fill>
      <patternFill patternType="solid">
        <fgColor rgb="FFD3EBDB"/>
        <bgColor indexed="64"/>
      </patternFill>
    </fill>
    <fill>
      <patternFill patternType="solid">
        <fgColor rgb="FFFBF1F4"/>
        <bgColor indexed="64"/>
      </patternFill>
    </fill>
    <fill>
      <patternFill patternType="solid">
        <fgColor rgb="FFDCEFE4"/>
        <bgColor indexed="64"/>
      </patternFill>
    </fill>
    <fill>
      <patternFill patternType="solid">
        <fgColor rgb="FFFBDADD"/>
        <bgColor indexed="64"/>
      </patternFill>
    </fill>
    <fill>
      <patternFill patternType="solid">
        <fgColor rgb="FFF9A8AA"/>
        <bgColor indexed="64"/>
      </patternFill>
    </fill>
    <fill>
      <patternFill patternType="solid">
        <fgColor rgb="FFFAC4C7"/>
        <bgColor indexed="64"/>
      </patternFill>
    </fill>
    <fill>
      <patternFill patternType="solid">
        <fgColor rgb="FFFBDFE2"/>
        <bgColor indexed="64"/>
      </patternFill>
    </fill>
    <fill>
      <patternFill patternType="solid">
        <fgColor rgb="FFFAD6D8"/>
        <bgColor indexed="64"/>
      </patternFill>
    </fill>
    <fill>
      <patternFill patternType="solid">
        <fgColor rgb="FFFAFBFD"/>
        <bgColor indexed="64"/>
      </patternFill>
    </fill>
    <fill>
      <patternFill patternType="solid">
        <fgColor rgb="FFFAB7B9"/>
        <bgColor indexed="64"/>
      </patternFill>
    </fill>
    <fill>
      <patternFill patternType="solid">
        <fgColor rgb="FFFAD4D7"/>
        <bgColor indexed="64"/>
      </patternFill>
    </fill>
    <fill>
      <patternFill patternType="solid">
        <fgColor rgb="FFFAD0D3"/>
        <bgColor indexed="64"/>
      </patternFill>
    </fill>
    <fill>
      <patternFill patternType="solid">
        <fgColor rgb="FFD3ECDC"/>
        <bgColor indexed="64"/>
      </patternFill>
    </fill>
    <fill>
      <patternFill patternType="solid">
        <fgColor rgb="FFF9ABAD"/>
        <bgColor indexed="64"/>
      </patternFill>
    </fill>
    <fill>
      <patternFill patternType="solid">
        <fgColor rgb="FFFAC7CA"/>
        <bgColor indexed="64"/>
      </patternFill>
    </fill>
    <fill>
      <patternFill patternType="solid">
        <fgColor rgb="FFECF6F1"/>
        <bgColor indexed="64"/>
      </patternFill>
    </fill>
    <fill>
      <patternFill patternType="solid">
        <fgColor rgb="FFEEF6F3"/>
        <bgColor indexed="64"/>
      </patternFill>
    </fill>
    <fill>
      <patternFill patternType="solid">
        <fgColor rgb="FFC9E8D3"/>
        <bgColor indexed="64"/>
      </patternFill>
    </fill>
    <fill>
      <patternFill patternType="solid">
        <fgColor rgb="FFFBDCDE"/>
        <bgColor indexed="64"/>
      </patternFill>
    </fill>
    <fill>
      <patternFill patternType="solid">
        <fgColor rgb="FFC0E4CB"/>
        <bgColor indexed="64"/>
      </patternFill>
    </fill>
    <fill>
      <patternFill patternType="solid">
        <fgColor rgb="FFFBEEF1"/>
        <bgColor indexed="64"/>
      </patternFill>
    </fill>
    <fill>
      <patternFill patternType="solid">
        <fgColor rgb="FFFAD3D6"/>
        <bgColor indexed="64"/>
      </patternFill>
    </fill>
    <fill>
      <patternFill patternType="solid">
        <fgColor rgb="FFFBF3F6"/>
        <bgColor indexed="64"/>
      </patternFill>
    </fill>
    <fill>
      <patternFill patternType="solid">
        <fgColor rgb="FFFACBCD"/>
        <bgColor indexed="64"/>
      </patternFill>
    </fill>
    <fill>
      <patternFill patternType="solid">
        <fgColor rgb="FFB4DFC1"/>
        <bgColor indexed="64"/>
      </patternFill>
    </fill>
    <fill>
      <patternFill patternType="solid">
        <fgColor rgb="FFFACDD0"/>
        <bgColor indexed="64"/>
      </patternFill>
    </fill>
    <fill>
      <patternFill patternType="solid">
        <fgColor rgb="FFFABEC1"/>
        <bgColor indexed="64"/>
      </patternFill>
    </fill>
    <fill>
      <patternFill patternType="solid">
        <fgColor rgb="FFE1F2E8"/>
        <bgColor indexed="64"/>
      </patternFill>
    </fill>
    <fill>
      <patternFill patternType="solid">
        <fgColor rgb="FFDFF0E6"/>
        <bgColor indexed="64"/>
      </patternFill>
    </fill>
    <fill>
      <patternFill patternType="solid">
        <fgColor rgb="FFE8F4ED"/>
        <bgColor indexed="64"/>
      </patternFill>
    </fill>
    <fill>
      <patternFill patternType="solid">
        <fgColor rgb="FFD9EEE1"/>
        <bgColor indexed="64"/>
      </patternFill>
    </fill>
    <fill>
      <patternFill patternType="solid">
        <fgColor rgb="FFFAC2C4"/>
        <bgColor indexed="64"/>
      </patternFill>
    </fill>
    <fill>
      <patternFill patternType="solid">
        <fgColor rgb="FFF7FAFB"/>
        <bgColor indexed="64"/>
      </patternFill>
    </fill>
    <fill>
      <patternFill patternType="solid">
        <fgColor rgb="FFFBE6E9"/>
        <bgColor indexed="64"/>
      </patternFill>
    </fill>
    <fill>
      <patternFill patternType="solid">
        <fgColor rgb="FFFBF7FA"/>
        <bgColor indexed="64"/>
      </patternFill>
    </fill>
    <fill>
      <patternFill patternType="solid">
        <fgColor rgb="FFFABFC2"/>
        <bgColor indexed="64"/>
      </patternFill>
    </fill>
    <fill>
      <patternFill patternType="solid">
        <fgColor rgb="FFFBEDF0"/>
        <bgColor indexed="64"/>
      </patternFill>
    </fill>
    <fill>
      <patternFill patternType="solid">
        <fgColor rgb="FFC3E5CE"/>
        <bgColor indexed="64"/>
      </patternFill>
    </fill>
    <fill>
      <patternFill patternType="solid">
        <fgColor rgb="FFFAB9BC"/>
        <bgColor indexed="64"/>
      </patternFill>
    </fill>
    <fill>
      <patternFill patternType="solid">
        <fgColor rgb="FFCCE9D6"/>
        <bgColor indexed="64"/>
      </patternFill>
    </fill>
    <fill>
      <patternFill patternType="solid">
        <fgColor rgb="FFFAB3B6"/>
        <bgColor indexed="64"/>
      </patternFill>
    </fill>
    <fill>
      <patternFill patternType="solid">
        <fgColor rgb="FFF9ADB0"/>
        <bgColor indexed="64"/>
      </patternFill>
    </fill>
    <fill>
      <patternFill patternType="solid">
        <fgColor rgb="FFFBE2E5"/>
        <bgColor indexed="64"/>
      </patternFill>
    </fill>
    <fill>
      <patternFill patternType="solid">
        <fgColor rgb="FFF4F9F8"/>
        <bgColor indexed="64"/>
      </patternFill>
    </fill>
    <fill>
      <patternFill patternType="solid">
        <fgColor rgb="FFFABDBF"/>
        <bgColor indexed="64"/>
      </patternFill>
    </fill>
    <fill>
      <patternFill patternType="solid">
        <fgColor rgb="FFFAC8CB"/>
        <bgColor indexed="64"/>
      </patternFill>
    </fill>
    <fill>
      <patternFill patternType="solid">
        <fgColor rgb="FFF9AAAC"/>
        <bgColor indexed="64"/>
      </patternFill>
    </fill>
    <fill>
      <patternFill patternType="solid">
        <fgColor rgb="FFF9ADAF"/>
        <bgColor indexed="64"/>
      </patternFill>
    </fill>
    <fill>
      <patternFill patternType="solid">
        <fgColor rgb="FFFBDCDF"/>
        <bgColor indexed="64"/>
      </patternFill>
    </fill>
    <fill>
      <patternFill patternType="solid">
        <fgColor rgb="FFFAB6B8"/>
        <bgColor indexed="64"/>
      </patternFill>
    </fill>
    <fill>
      <patternFill patternType="solid">
        <fgColor rgb="FFFAC5C8"/>
        <bgColor indexed="64"/>
      </patternFill>
    </fill>
    <fill>
      <patternFill patternType="solid">
        <fgColor rgb="FFFABCBE"/>
        <bgColor indexed="64"/>
      </patternFill>
    </fill>
    <fill>
      <patternFill patternType="solid">
        <fgColor rgb="FFFAD7D9"/>
        <bgColor indexed="64"/>
      </patternFill>
    </fill>
    <fill>
      <patternFill patternType="solid">
        <fgColor rgb="FFFBE0E3"/>
        <bgColor indexed="64"/>
      </patternFill>
    </fill>
    <fill>
      <patternFill patternType="solid">
        <fgColor rgb="FFFAB8BB"/>
        <bgColor indexed="64"/>
      </patternFill>
    </fill>
    <fill>
      <patternFill patternType="solid">
        <fgColor rgb="FFFAB2B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FFA5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FFA500"/>
      </top>
      <bottom style="medium">
        <color rgb="FF000000"/>
      </bottom>
      <diagonal/>
    </border>
  </borders>
  <cellStyleXfs count="1">
    <xf numFmtId="0" fontId="0" fillId="0" borderId="0"/>
  </cellStyleXfs>
  <cellXfs count="29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6" fillId="23" borderId="2" xfId="0" applyFont="1" applyFill="1" applyBorder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24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28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32" borderId="3" xfId="0" applyFont="1" applyFill="1" applyBorder="1" applyAlignment="1">
      <alignment horizontal="center" vertical="center"/>
    </xf>
    <xf numFmtId="0" fontId="6" fillId="33" borderId="3" xfId="0" applyFont="1" applyFill="1" applyBorder="1" applyAlignment="1">
      <alignment horizontal="center" vertical="center"/>
    </xf>
    <xf numFmtId="0" fontId="6" fillId="34" borderId="3" xfId="0" applyFont="1" applyFill="1" applyBorder="1" applyAlignment="1">
      <alignment horizontal="center" vertical="center"/>
    </xf>
    <xf numFmtId="0" fontId="6" fillId="35" borderId="3" xfId="0" applyFont="1" applyFill="1" applyBorder="1" applyAlignment="1">
      <alignment horizontal="center" vertical="center"/>
    </xf>
    <xf numFmtId="0" fontId="6" fillId="24" borderId="4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36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37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0" fontId="3" fillId="39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/>
    </xf>
    <xf numFmtId="0" fontId="3" fillId="40" borderId="1" xfId="0" applyFont="1" applyFill="1" applyBorder="1" applyAlignment="1">
      <alignment horizontal="center" vertical="center"/>
    </xf>
    <xf numFmtId="0" fontId="3" fillId="41" borderId="1" xfId="0" applyFont="1" applyFill="1" applyBorder="1" applyAlignment="1">
      <alignment horizontal="center" vertical="center"/>
    </xf>
    <xf numFmtId="0" fontId="3" fillId="25" borderId="2" xfId="0" applyFont="1" applyFill="1" applyBorder="1" applyAlignment="1">
      <alignment horizontal="center" vertical="center"/>
    </xf>
    <xf numFmtId="0" fontId="3" fillId="22" borderId="2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42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43" borderId="1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center" vertical="center"/>
    </xf>
    <xf numFmtId="0" fontId="6" fillId="44" borderId="1" xfId="0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6" fillId="46" borderId="1" xfId="0" applyFont="1" applyFill="1" applyBorder="1" applyAlignment="1">
      <alignment horizontal="center" vertical="center"/>
    </xf>
    <xf numFmtId="0" fontId="6" fillId="47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48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49" borderId="2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47" borderId="1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50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37" borderId="3" xfId="0" applyFont="1" applyFill="1" applyBorder="1" applyAlignment="1">
      <alignment horizontal="center" vertical="center"/>
    </xf>
    <xf numFmtId="0" fontId="6" fillId="51" borderId="3" xfId="0" applyFont="1" applyFill="1" applyBorder="1" applyAlignment="1">
      <alignment horizontal="center" vertical="center"/>
    </xf>
    <xf numFmtId="0" fontId="6" fillId="52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7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3" fillId="27" borderId="3" xfId="0" applyFont="1" applyFill="1" applyBorder="1" applyAlignment="1">
      <alignment horizontal="center" vertical="center"/>
    </xf>
    <xf numFmtId="0" fontId="3" fillId="37" borderId="3" xfId="0" applyFont="1" applyFill="1" applyBorder="1" applyAlignment="1">
      <alignment horizontal="center" vertical="center"/>
    </xf>
    <xf numFmtId="0" fontId="3" fillId="43" borderId="3" xfId="0" applyFont="1" applyFill="1" applyBorder="1" applyAlignment="1">
      <alignment horizontal="center" vertical="center"/>
    </xf>
    <xf numFmtId="0" fontId="3" fillId="24" borderId="3" xfId="0" applyFont="1" applyFill="1" applyBorder="1" applyAlignment="1">
      <alignment horizontal="center" vertical="center"/>
    </xf>
    <xf numFmtId="0" fontId="3" fillId="3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4" borderId="3" xfId="0" applyFont="1" applyFill="1" applyBorder="1" applyAlignment="1">
      <alignment horizontal="center" vertical="center"/>
    </xf>
    <xf numFmtId="0" fontId="3" fillId="48" borderId="3" xfId="0" applyFont="1" applyFill="1" applyBorder="1" applyAlignment="1">
      <alignment horizontal="center" vertical="center"/>
    </xf>
    <xf numFmtId="0" fontId="3" fillId="50" borderId="3" xfId="0" applyFont="1" applyFill="1" applyBorder="1" applyAlignment="1">
      <alignment horizontal="center" vertical="center"/>
    </xf>
    <xf numFmtId="0" fontId="3" fillId="41" borderId="3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3" fillId="53" borderId="3" xfId="0" applyFont="1" applyFill="1" applyBorder="1" applyAlignment="1">
      <alignment horizontal="center" vertical="center"/>
    </xf>
    <xf numFmtId="0" fontId="3" fillId="54" borderId="3" xfId="0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center" vertical="center"/>
    </xf>
    <xf numFmtId="0" fontId="3" fillId="48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3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55" borderId="1" xfId="0" applyFont="1" applyFill="1" applyBorder="1" applyAlignment="1">
      <alignment horizontal="center" vertical="center"/>
    </xf>
    <xf numFmtId="0" fontId="3" fillId="22" borderId="3" xfId="0" applyFont="1" applyFill="1" applyBorder="1" applyAlignment="1">
      <alignment horizontal="center" vertical="center"/>
    </xf>
    <xf numFmtId="0" fontId="3" fillId="42" borderId="3" xfId="0" applyFont="1" applyFill="1" applyBorder="1" applyAlignment="1">
      <alignment horizontal="center" vertical="center"/>
    </xf>
    <xf numFmtId="0" fontId="3" fillId="39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36" borderId="3" xfId="0" applyFont="1" applyFill="1" applyBorder="1" applyAlignment="1">
      <alignment horizontal="center" vertical="center"/>
    </xf>
    <xf numFmtId="0" fontId="3" fillId="40" borderId="3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3" fillId="56" borderId="1" xfId="0" applyFont="1" applyFill="1" applyBorder="1" applyAlignment="1">
      <alignment horizontal="center" vertical="center"/>
    </xf>
    <xf numFmtId="0" fontId="3" fillId="30" borderId="3" xfId="0" applyFont="1" applyFill="1" applyBorder="1" applyAlignment="1">
      <alignment horizontal="center" vertical="center"/>
    </xf>
    <xf numFmtId="0" fontId="3" fillId="25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30" borderId="2" xfId="0" applyFont="1" applyFill="1" applyBorder="1" applyAlignment="1">
      <alignment horizontal="center" vertical="center"/>
    </xf>
    <xf numFmtId="0" fontId="3" fillId="57" borderId="2" xfId="0" applyFont="1" applyFill="1" applyBorder="1" applyAlignment="1">
      <alignment horizontal="center" vertical="center"/>
    </xf>
    <xf numFmtId="0" fontId="3" fillId="49" borderId="4" xfId="0" applyFont="1" applyFill="1" applyBorder="1" applyAlignment="1">
      <alignment horizontal="center" vertical="center"/>
    </xf>
    <xf numFmtId="0" fontId="6" fillId="31" borderId="2" xfId="0" applyFont="1" applyFill="1" applyBorder="1" applyAlignment="1">
      <alignment horizontal="center" vertical="center"/>
    </xf>
    <xf numFmtId="0" fontId="3" fillId="22" borderId="4" xfId="0" applyFont="1" applyFill="1" applyBorder="1" applyAlignment="1">
      <alignment horizontal="center" vertical="center"/>
    </xf>
    <xf numFmtId="0" fontId="3" fillId="58" borderId="2" xfId="0" applyFont="1" applyFill="1" applyBorder="1" applyAlignment="1">
      <alignment horizontal="center" vertical="center"/>
    </xf>
    <xf numFmtId="0" fontId="3" fillId="43" borderId="2" xfId="0" applyFont="1" applyFill="1" applyBorder="1" applyAlignment="1">
      <alignment horizontal="center" vertical="center"/>
    </xf>
    <xf numFmtId="0" fontId="3" fillId="19" borderId="3" xfId="0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59" borderId="1" xfId="0" applyFont="1" applyFill="1" applyBorder="1" applyAlignment="1">
      <alignment horizontal="center" vertical="center"/>
    </xf>
    <xf numFmtId="0" fontId="3" fillId="60" borderId="1" xfId="0" applyFont="1" applyFill="1" applyBorder="1" applyAlignment="1">
      <alignment horizontal="center" vertical="center"/>
    </xf>
    <xf numFmtId="0" fontId="3" fillId="61" borderId="1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2" borderId="2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3" fillId="4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3" fillId="63" borderId="2" xfId="0" applyFont="1" applyFill="1" applyBorder="1" applyAlignment="1">
      <alignment horizontal="center" vertical="center"/>
    </xf>
    <xf numFmtId="0" fontId="3" fillId="64" borderId="1" xfId="0" applyFont="1" applyFill="1" applyBorder="1" applyAlignment="1">
      <alignment horizontal="center" vertical="center"/>
    </xf>
    <xf numFmtId="0" fontId="3" fillId="65" borderId="1" xfId="0" applyFont="1" applyFill="1" applyBorder="1" applyAlignment="1">
      <alignment horizontal="center" vertical="center"/>
    </xf>
    <xf numFmtId="0" fontId="3" fillId="54" borderId="1" xfId="0" applyFont="1" applyFill="1" applyBorder="1" applyAlignment="1">
      <alignment horizontal="center" vertical="center"/>
    </xf>
    <xf numFmtId="0" fontId="3" fillId="45" borderId="1" xfId="0" applyFont="1" applyFill="1" applyBorder="1" applyAlignment="1">
      <alignment horizontal="center" vertical="center"/>
    </xf>
    <xf numFmtId="0" fontId="3" fillId="66" borderId="1" xfId="0" applyFont="1" applyFill="1" applyBorder="1" applyAlignment="1">
      <alignment horizontal="center" vertical="center"/>
    </xf>
    <xf numFmtId="0" fontId="3" fillId="67" borderId="1" xfId="0" applyFont="1" applyFill="1" applyBorder="1" applyAlignment="1">
      <alignment horizontal="center" vertical="center"/>
    </xf>
    <xf numFmtId="0" fontId="3" fillId="68" borderId="2" xfId="0" applyFont="1" applyFill="1" applyBorder="1" applyAlignment="1">
      <alignment horizontal="center" vertical="center"/>
    </xf>
    <xf numFmtId="0" fontId="3" fillId="69" borderId="2" xfId="0" applyFont="1" applyFill="1" applyBorder="1" applyAlignment="1">
      <alignment horizontal="center" vertical="center"/>
    </xf>
    <xf numFmtId="0" fontId="3" fillId="70" borderId="1" xfId="0" applyFont="1" applyFill="1" applyBorder="1" applyAlignment="1">
      <alignment horizontal="center" vertical="center"/>
    </xf>
    <xf numFmtId="0" fontId="3" fillId="35" borderId="2" xfId="0" applyFont="1" applyFill="1" applyBorder="1" applyAlignment="1">
      <alignment horizontal="center" vertical="center"/>
    </xf>
    <xf numFmtId="0" fontId="3" fillId="70" borderId="2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26" borderId="2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71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72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50" borderId="1" xfId="0" applyFont="1" applyFill="1" applyBorder="1" applyAlignment="1">
      <alignment horizontal="center" vertical="center"/>
    </xf>
    <xf numFmtId="0" fontId="3" fillId="73" borderId="2" xfId="0" applyFont="1" applyFill="1" applyBorder="1" applyAlignment="1">
      <alignment horizontal="center" vertical="center"/>
    </xf>
    <xf numFmtId="0" fontId="3" fillId="41" borderId="2" xfId="0" applyFont="1" applyFill="1" applyBorder="1" applyAlignment="1">
      <alignment horizontal="center" vertical="center"/>
    </xf>
    <xf numFmtId="0" fontId="3" fillId="74" borderId="1" xfId="0" applyFont="1" applyFill="1" applyBorder="1" applyAlignment="1">
      <alignment horizontal="center" vertical="center"/>
    </xf>
    <xf numFmtId="0" fontId="3" fillId="75" borderId="1" xfId="0" applyFont="1" applyFill="1" applyBorder="1" applyAlignment="1">
      <alignment horizontal="center" vertical="center"/>
    </xf>
    <xf numFmtId="0" fontId="3" fillId="61" borderId="2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/>
    </xf>
    <xf numFmtId="0" fontId="3" fillId="76" borderId="2" xfId="0" applyFont="1" applyFill="1" applyBorder="1" applyAlignment="1">
      <alignment horizontal="center" vertical="center"/>
    </xf>
    <xf numFmtId="0" fontId="3" fillId="77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1" borderId="2" xfId="0" applyFont="1" applyFill="1" applyBorder="1" applyAlignment="1">
      <alignment horizontal="center" vertical="center"/>
    </xf>
    <xf numFmtId="0" fontId="3" fillId="46" borderId="1" xfId="0" applyFont="1" applyFill="1" applyBorder="1" applyAlignment="1">
      <alignment horizontal="center" vertical="center"/>
    </xf>
    <xf numFmtId="0" fontId="3" fillId="78" borderId="1" xfId="0" applyFont="1" applyFill="1" applyBorder="1" applyAlignment="1">
      <alignment horizontal="center" vertical="center"/>
    </xf>
    <xf numFmtId="0" fontId="3" fillId="47" borderId="1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53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3" fillId="79" borderId="2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80" borderId="1" xfId="0" applyFont="1" applyFill="1" applyBorder="1" applyAlignment="1">
      <alignment horizontal="center" vertical="center"/>
    </xf>
    <xf numFmtId="0" fontId="3" fillId="48" borderId="2" xfId="0" applyFont="1" applyFill="1" applyBorder="1" applyAlignment="1">
      <alignment horizontal="center" vertical="center"/>
    </xf>
    <xf numFmtId="0" fontId="3" fillId="75" borderId="2" xfId="0" applyFont="1" applyFill="1" applyBorder="1" applyAlignment="1">
      <alignment horizontal="center" vertical="center"/>
    </xf>
    <xf numFmtId="0" fontId="3" fillId="81" borderId="1" xfId="0" applyFont="1" applyFill="1" applyBorder="1" applyAlignment="1">
      <alignment horizontal="center" vertical="center"/>
    </xf>
    <xf numFmtId="0" fontId="3" fillId="38" borderId="2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53" borderId="2" xfId="0" applyFont="1" applyFill="1" applyBorder="1" applyAlignment="1">
      <alignment horizontal="center" vertical="center"/>
    </xf>
    <xf numFmtId="0" fontId="3" fillId="82" borderId="1" xfId="0" applyFont="1" applyFill="1" applyBorder="1" applyAlignment="1">
      <alignment horizontal="center" vertical="center"/>
    </xf>
    <xf numFmtId="0" fontId="3" fillId="58" borderId="1" xfId="0" applyFont="1" applyFill="1" applyBorder="1" applyAlignment="1">
      <alignment horizontal="center" vertical="center"/>
    </xf>
    <xf numFmtId="0" fontId="3" fillId="30" borderId="2" xfId="0" applyFont="1" applyFill="1" applyBorder="1" applyAlignment="1">
      <alignment horizontal="center" vertical="center"/>
    </xf>
    <xf numFmtId="0" fontId="3" fillId="65" borderId="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3" fillId="52" borderId="1" xfId="0" applyFont="1" applyFill="1" applyBorder="1" applyAlignment="1">
      <alignment horizontal="center" vertical="center"/>
    </xf>
    <xf numFmtId="0" fontId="3" fillId="69" borderId="1" xfId="0" applyFont="1" applyFill="1" applyBorder="1" applyAlignment="1">
      <alignment horizontal="center" vertical="center"/>
    </xf>
    <xf numFmtId="0" fontId="3" fillId="45" borderId="2" xfId="0" applyFont="1" applyFill="1" applyBorder="1" applyAlignment="1">
      <alignment horizontal="center" vertical="center"/>
    </xf>
    <xf numFmtId="0" fontId="3" fillId="83" borderId="1" xfId="0" applyFont="1" applyFill="1" applyBorder="1" applyAlignment="1">
      <alignment horizontal="center" vertical="center"/>
    </xf>
    <xf numFmtId="0" fontId="3" fillId="84" borderId="2" xfId="0" applyFont="1" applyFill="1" applyBorder="1" applyAlignment="1">
      <alignment horizontal="center" vertical="center"/>
    </xf>
    <xf numFmtId="0" fontId="3" fillId="85" borderId="1" xfId="0" applyFont="1" applyFill="1" applyBorder="1" applyAlignment="1">
      <alignment horizontal="center" vertical="center"/>
    </xf>
    <xf numFmtId="0" fontId="3" fillId="50" borderId="2" xfId="0" applyFont="1" applyFill="1" applyBorder="1" applyAlignment="1">
      <alignment horizontal="center" vertical="center"/>
    </xf>
    <xf numFmtId="0" fontId="3" fillId="44" borderId="1" xfId="0" applyFont="1" applyFill="1" applyBorder="1" applyAlignment="1">
      <alignment horizontal="center" vertical="center"/>
    </xf>
    <xf numFmtId="0" fontId="3" fillId="86" borderId="2" xfId="0" applyFont="1" applyFill="1" applyBorder="1" applyAlignment="1">
      <alignment horizontal="center" vertical="center"/>
    </xf>
    <xf numFmtId="0" fontId="3" fillId="64" borderId="2" xfId="0" applyFont="1" applyFill="1" applyBorder="1" applyAlignment="1">
      <alignment horizontal="center" vertical="center"/>
    </xf>
    <xf numFmtId="0" fontId="3" fillId="68" borderId="1" xfId="0" applyFont="1" applyFill="1" applyBorder="1" applyAlignment="1">
      <alignment horizontal="center" vertical="center"/>
    </xf>
    <xf numFmtId="0" fontId="3" fillId="87" borderId="1" xfId="0" applyFont="1" applyFill="1" applyBorder="1" applyAlignment="1">
      <alignment horizontal="center" vertical="center"/>
    </xf>
    <xf numFmtId="0" fontId="3" fillId="29" borderId="2" xfId="0" applyFont="1" applyFill="1" applyBorder="1" applyAlignment="1">
      <alignment horizontal="center" vertical="center"/>
    </xf>
    <xf numFmtId="0" fontId="3" fillId="88" borderId="1" xfId="0" applyFont="1" applyFill="1" applyBorder="1" applyAlignment="1">
      <alignment horizontal="center" vertical="center"/>
    </xf>
    <xf numFmtId="0" fontId="3" fillId="89" borderId="1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86" borderId="1" xfId="0" applyFont="1" applyFill="1" applyBorder="1" applyAlignment="1">
      <alignment horizontal="center" vertical="center"/>
    </xf>
    <xf numFmtId="0" fontId="3" fillId="89" borderId="2" xfId="0" applyFont="1" applyFill="1" applyBorder="1" applyAlignment="1">
      <alignment horizontal="center" vertical="center"/>
    </xf>
    <xf numFmtId="0" fontId="3" fillId="73" borderId="1" xfId="0" applyFont="1" applyFill="1" applyBorder="1" applyAlignment="1">
      <alignment horizontal="center" vertical="center"/>
    </xf>
    <xf numFmtId="0" fontId="3" fillId="90" borderId="2" xfId="0" applyFont="1" applyFill="1" applyBorder="1" applyAlignment="1">
      <alignment horizontal="center" vertical="center"/>
    </xf>
    <xf numFmtId="0" fontId="3" fillId="90" borderId="1" xfId="0" applyFont="1" applyFill="1" applyBorder="1" applyAlignment="1">
      <alignment horizontal="center" vertical="center"/>
    </xf>
    <xf numFmtId="0" fontId="3" fillId="40" borderId="2" xfId="0" applyFont="1" applyFill="1" applyBorder="1" applyAlignment="1">
      <alignment horizontal="center" vertical="center"/>
    </xf>
    <xf numFmtId="0" fontId="3" fillId="62" borderId="1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center" vertical="center"/>
    </xf>
    <xf numFmtId="0" fontId="3" fillId="91" borderId="1" xfId="0" applyFont="1" applyFill="1" applyBorder="1" applyAlignment="1">
      <alignment horizontal="center" vertical="center"/>
    </xf>
    <xf numFmtId="0" fontId="3" fillId="77" borderId="2" xfId="0" applyFont="1" applyFill="1" applyBorder="1" applyAlignment="1">
      <alignment horizontal="center" vertical="center"/>
    </xf>
    <xf numFmtId="0" fontId="3" fillId="92" borderId="1" xfId="0" applyFont="1" applyFill="1" applyBorder="1" applyAlignment="1">
      <alignment horizontal="center" vertical="center"/>
    </xf>
    <xf numFmtId="0" fontId="3" fillId="42" borderId="2" xfId="0" applyFont="1" applyFill="1" applyBorder="1" applyAlignment="1">
      <alignment horizontal="center" vertical="center"/>
    </xf>
    <xf numFmtId="0" fontId="3" fillId="28" borderId="2" xfId="0" applyFont="1" applyFill="1" applyBorder="1" applyAlignment="1">
      <alignment horizontal="center" vertical="center"/>
    </xf>
    <xf numFmtId="0" fontId="3" fillId="93" borderId="2" xfId="0" applyFont="1" applyFill="1" applyBorder="1" applyAlignment="1">
      <alignment horizontal="center" vertical="center"/>
    </xf>
    <xf numFmtId="0" fontId="3" fillId="54" borderId="2" xfId="0" applyFont="1" applyFill="1" applyBorder="1" applyAlignment="1">
      <alignment horizontal="center" vertical="center"/>
    </xf>
    <xf numFmtId="0" fontId="3" fillId="84" borderId="1" xfId="0" applyFont="1" applyFill="1" applyBorder="1" applyAlignment="1">
      <alignment horizontal="center" vertical="center"/>
    </xf>
    <xf numFmtId="0" fontId="3" fillId="91" borderId="2" xfId="0" applyFont="1" applyFill="1" applyBorder="1" applyAlignment="1">
      <alignment horizontal="center" vertical="center"/>
    </xf>
    <xf numFmtId="0" fontId="3" fillId="59" borderId="2" xfId="0" applyFont="1" applyFill="1" applyBorder="1" applyAlignment="1">
      <alignment horizontal="center" vertical="center"/>
    </xf>
    <xf numFmtId="0" fontId="3" fillId="63" borderId="1" xfId="0" applyFont="1" applyFill="1" applyBorder="1" applyAlignment="1">
      <alignment horizontal="center" vertical="center"/>
    </xf>
    <xf numFmtId="0" fontId="3" fillId="94" borderId="2" xfId="0" applyFont="1" applyFill="1" applyBorder="1" applyAlignment="1">
      <alignment horizontal="center" vertical="center"/>
    </xf>
    <xf numFmtId="0" fontId="3" fillId="27" borderId="2" xfId="0" applyFont="1" applyFill="1" applyBorder="1" applyAlignment="1">
      <alignment horizontal="center" vertical="center"/>
    </xf>
    <xf numFmtId="0" fontId="3" fillId="95" borderId="1" xfId="0" applyFont="1" applyFill="1" applyBorder="1" applyAlignment="1">
      <alignment horizontal="center" vertical="center"/>
    </xf>
    <xf numFmtId="0" fontId="3" fillId="96" borderId="1" xfId="0" applyFont="1" applyFill="1" applyBorder="1" applyAlignment="1">
      <alignment horizontal="center" vertical="center"/>
    </xf>
    <xf numFmtId="0" fontId="3" fillId="67" borderId="2" xfId="0" applyFont="1" applyFill="1" applyBorder="1" applyAlignment="1">
      <alignment horizontal="center" vertical="center"/>
    </xf>
    <xf numFmtId="0" fontId="3" fillId="56" borderId="2" xfId="0" applyFont="1" applyFill="1" applyBorder="1" applyAlignment="1">
      <alignment horizontal="center" vertical="center"/>
    </xf>
    <xf numFmtId="0" fontId="3" fillId="36" borderId="2" xfId="0" applyFont="1" applyFill="1" applyBorder="1" applyAlignment="1">
      <alignment horizontal="center" vertical="center"/>
    </xf>
    <xf numFmtId="0" fontId="3" fillId="78" borderId="2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51" borderId="1" xfId="0" applyFont="1" applyFill="1" applyBorder="1" applyAlignment="1">
      <alignment horizontal="center" vertical="center"/>
    </xf>
    <xf numFmtId="0" fontId="3" fillId="37" borderId="2" xfId="0" applyFont="1" applyFill="1" applyBorder="1" applyAlignment="1">
      <alignment horizontal="center" vertical="center"/>
    </xf>
    <xf numFmtId="0" fontId="3" fillId="97" borderId="1" xfId="0" applyFont="1" applyFill="1" applyBorder="1" applyAlignment="1">
      <alignment horizontal="center" vertical="center"/>
    </xf>
    <xf numFmtId="0" fontId="3" fillId="74" borderId="2" xfId="0" applyFont="1" applyFill="1" applyBorder="1" applyAlignment="1">
      <alignment horizontal="center" vertical="center"/>
    </xf>
    <xf numFmtId="0" fontId="3" fillId="98" borderId="1" xfId="0" applyFont="1" applyFill="1" applyBorder="1" applyAlignment="1">
      <alignment horizontal="center" vertical="center"/>
    </xf>
    <xf numFmtId="0" fontId="3" fillId="31" borderId="2" xfId="0" applyFont="1" applyFill="1" applyBorder="1" applyAlignment="1">
      <alignment horizontal="center" vertical="center"/>
    </xf>
    <xf numFmtId="0" fontId="3" fillId="55" borderId="2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3" fillId="33" borderId="2" xfId="0" applyFont="1" applyFill="1" applyBorder="1" applyAlignment="1">
      <alignment horizontal="center" vertical="center"/>
    </xf>
    <xf numFmtId="0" fontId="3" fillId="99" borderId="1" xfId="0" applyFont="1" applyFill="1" applyBorder="1" applyAlignment="1">
      <alignment horizontal="center" vertical="center"/>
    </xf>
    <xf numFmtId="0" fontId="3" fillId="100" borderId="1" xfId="0" applyFont="1" applyFill="1" applyBorder="1" applyAlignment="1">
      <alignment horizontal="center" vertical="center"/>
    </xf>
    <xf numFmtId="0" fontId="3" fillId="57" borderId="1" xfId="0" applyFont="1" applyFill="1" applyBorder="1" applyAlignment="1">
      <alignment horizontal="center" vertical="center"/>
    </xf>
    <xf numFmtId="0" fontId="3" fillId="101" borderId="1" xfId="0" applyFont="1" applyFill="1" applyBorder="1" applyAlignment="1">
      <alignment horizontal="center" vertical="center"/>
    </xf>
    <xf numFmtId="0" fontId="3" fillId="102" borderId="2" xfId="0" applyFont="1" applyFill="1" applyBorder="1" applyAlignment="1">
      <alignment horizontal="center" vertical="center"/>
    </xf>
    <xf numFmtId="0" fontId="3" fillId="103" borderId="1" xfId="0" applyFont="1" applyFill="1" applyBorder="1" applyAlignment="1">
      <alignment horizontal="center" vertical="center"/>
    </xf>
    <xf numFmtId="0" fontId="3" fillId="104" borderId="2" xfId="0" applyFont="1" applyFill="1" applyBorder="1" applyAlignment="1">
      <alignment horizontal="center" vertical="center"/>
    </xf>
    <xf numFmtId="0" fontId="3" fillId="105" borderId="1" xfId="0" applyFont="1" applyFill="1" applyBorder="1" applyAlignment="1">
      <alignment horizontal="center" vertical="center"/>
    </xf>
    <xf numFmtId="0" fontId="3" fillId="79" borderId="1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/>
    </xf>
    <xf numFmtId="0" fontId="3" fillId="106" borderId="1" xfId="0" applyFont="1" applyFill="1" applyBorder="1" applyAlignment="1">
      <alignment horizontal="center" vertical="center"/>
    </xf>
    <xf numFmtId="0" fontId="3" fillId="107" borderId="1" xfId="0" applyFont="1" applyFill="1" applyBorder="1" applyAlignment="1">
      <alignment horizontal="center" vertical="center"/>
    </xf>
    <xf numFmtId="0" fontId="3" fillId="93" borderId="1" xfId="0" applyFont="1" applyFill="1" applyBorder="1" applyAlignment="1">
      <alignment horizontal="center" vertical="center"/>
    </xf>
    <xf numFmtId="0" fontId="3" fillId="108" borderId="1" xfId="0" applyFont="1" applyFill="1" applyBorder="1" applyAlignment="1">
      <alignment horizontal="center" vertical="center"/>
    </xf>
    <xf numFmtId="0" fontId="3" fillId="107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102" borderId="1" xfId="0" applyFont="1" applyFill="1" applyBorder="1" applyAlignment="1">
      <alignment horizontal="center" vertical="center"/>
    </xf>
    <xf numFmtId="0" fontId="6" fillId="108" borderId="1" xfId="0" applyFont="1" applyFill="1" applyBorder="1" applyAlignment="1">
      <alignment horizontal="center" vertical="center"/>
    </xf>
    <xf numFmtId="0" fontId="6" fillId="57" borderId="1" xfId="0" applyFont="1" applyFill="1" applyBorder="1" applyAlignment="1">
      <alignment horizontal="center" vertical="center"/>
    </xf>
    <xf numFmtId="0" fontId="6" fillId="65" borderId="1" xfId="0" applyFont="1" applyFill="1" applyBorder="1" applyAlignment="1">
      <alignment horizontal="center" vertical="center"/>
    </xf>
    <xf numFmtId="0" fontId="6" fillId="75" borderId="1" xfId="0" applyFont="1" applyFill="1" applyBorder="1" applyAlignment="1">
      <alignment horizontal="center" vertical="center"/>
    </xf>
    <xf numFmtId="0" fontId="6" fillId="72" borderId="1" xfId="0" applyFont="1" applyFill="1" applyBorder="1" applyAlignment="1">
      <alignment horizontal="center" vertical="center"/>
    </xf>
    <xf numFmtId="0" fontId="6" fillId="59" borderId="1" xfId="0" applyFont="1" applyFill="1" applyBorder="1" applyAlignment="1">
      <alignment horizontal="center" vertical="center"/>
    </xf>
    <xf numFmtId="0" fontId="6" fillId="65" borderId="2" xfId="0" applyFont="1" applyFill="1" applyBorder="1" applyAlignment="1">
      <alignment horizontal="center" vertical="center"/>
    </xf>
    <xf numFmtId="0" fontId="6" fillId="61" borderId="2" xfId="0" applyFont="1" applyFill="1" applyBorder="1" applyAlignment="1">
      <alignment horizontal="center" vertical="center"/>
    </xf>
    <xf numFmtId="0" fontId="6" fillId="33" borderId="2" xfId="0" applyFont="1" applyFill="1" applyBorder="1" applyAlignment="1">
      <alignment horizontal="center" vertical="center"/>
    </xf>
    <xf numFmtId="0" fontId="3" fillId="104" borderId="1" xfId="0" applyFont="1" applyFill="1" applyBorder="1" applyAlignment="1">
      <alignment horizontal="center" vertical="center"/>
    </xf>
    <xf numFmtId="0" fontId="3" fillId="102" borderId="1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44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86159-0A45-4362-B887-EB43FEF04834}">
  <dimension ref="A1:AI166"/>
  <sheetViews>
    <sheetView tabSelected="1" zoomScale="142" zoomScaleNormal="142" workbookViewId="0">
      <selection activeCell="AJ162" sqref="AJ162"/>
    </sheetView>
  </sheetViews>
  <sheetFormatPr defaultRowHeight="14.4" x14ac:dyDescent="0.3"/>
  <cols>
    <col min="1" max="1" width="4.77734375" bestFit="1" customWidth="1"/>
    <col min="2" max="2" width="12.44140625" bestFit="1" customWidth="1"/>
    <col min="3" max="3" width="9.109375" bestFit="1" customWidth="1"/>
    <col min="4" max="4" width="4" bestFit="1" customWidth="1"/>
    <col min="5" max="5" width="2.33203125" bestFit="1" customWidth="1"/>
    <col min="6" max="6" width="4.21875" bestFit="1" customWidth="1"/>
    <col min="7" max="7" width="5.109375" bestFit="1" customWidth="1"/>
    <col min="8" max="8" width="6.21875" bestFit="1" customWidth="1"/>
    <col min="9" max="9" width="3.88671875" bestFit="1" customWidth="1"/>
    <col min="10" max="10" width="4.77734375" bestFit="1" customWidth="1"/>
    <col min="11" max="12" width="4.6640625" bestFit="1" customWidth="1"/>
    <col min="13" max="13" width="6.5546875" bestFit="1" customWidth="1"/>
    <col min="14" max="14" width="4.6640625" bestFit="1" customWidth="1"/>
    <col min="15" max="15" width="6.44140625" bestFit="1" customWidth="1"/>
    <col min="16" max="16" width="4.44140625" bestFit="1" customWidth="1"/>
    <col min="17" max="17" width="4.6640625" bestFit="1" customWidth="1"/>
    <col min="18" max="18" width="3.88671875" bestFit="1" customWidth="1"/>
    <col min="19" max="19" width="4" bestFit="1" customWidth="1"/>
    <col min="20" max="20" width="3.88671875" bestFit="1" customWidth="1"/>
    <col min="21" max="21" width="4.109375" bestFit="1" customWidth="1"/>
    <col min="22" max="22" width="3.88671875" bestFit="1" customWidth="1"/>
    <col min="23" max="23" width="4" bestFit="1" customWidth="1"/>
    <col min="24" max="24" width="3.77734375" bestFit="1" customWidth="1"/>
    <col min="25" max="25" width="3.88671875" bestFit="1" customWidth="1"/>
    <col min="26" max="26" width="4.6640625" bestFit="1" customWidth="1"/>
    <col min="27" max="28" width="3.88671875" bestFit="1" customWidth="1"/>
    <col min="29" max="29" width="5.21875" bestFit="1" customWidth="1"/>
    <col min="30" max="30" width="3.88671875" bestFit="1" customWidth="1"/>
    <col min="31" max="31" width="5.44140625" bestFit="1" customWidth="1"/>
    <col min="32" max="32" width="6.21875" bestFit="1" customWidth="1"/>
    <col min="33" max="33" width="5.44140625" bestFit="1" customWidth="1"/>
    <col min="34" max="34" width="7.109375" style="298" bestFit="1" customWidth="1"/>
    <col min="35" max="35" width="7.88671875" bestFit="1" customWidth="1"/>
  </cols>
  <sheetData>
    <row r="1" spans="1:3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43" t="s">
        <v>76</v>
      </c>
    </row>
    <row r="2" spans="1:35" ht="15" thickBot="1" x14ac:dyDescent="0.35">
      <c r="A2" s="2" t="s">
        <v>34</v>
      </c>
      <c r="B2" s="3" t="s">
        <v>38</v>
      </c>
      <c r="C2" s="3" t="s">
        <v>39</v>
      </c>
      <c r="D2" s="3" t="s">
        <v>40</v>
      </c>
      <c r="E2" s="3">
        <v>33</v>
      </c>
      <c r="F2" s="2">
        <v>82.1</v>
      </c>
      <c r="G2" s="5">
        <v>6.5</v>
      </c>
      <c r="H2" s="5">
        <v>4.4000000000000004</v>
      </c>
      <c r="I2" s="5">
        <v>15.3</v>
      </c>
      <c r="J2" s="5">
        <v>10.8</v>
      </c>
      <c r="K2" s="17">
        <v>4.5</v>
      </c>
      <c r="L2" s="7">
        <v>118</v>
      </c>
      <c r="M2" s="8">
        <f>(_xlfn.PERCENTRANK.INC($L$2:$L$16,L2)*100)</f>
        <v>71.399999999999991</v>
      </c>
      <c r="N2" s="18">
        <v>88.4</v>
      </c>
      <c r="O2" s="3">
        <f>100-(_xlfn.PERCENTRANK.INC($N$2:$N$16,N2)*100)</f>
        <v>57.2</v>
      </c>
      <c r="P2" s="5">
        <v>37.5</v>
      </c>
      <c r="Q2" s="19">
        <v>54.9</v>
      </c>
      <c r="R2" s="20">
        <v>60.5</v>
      </c>
      <c r="S2" s="21">
        <v>1.8</v>
      </c>
      <c r="T2" s="2">
        <v>12.3</v>
      </c>
      <c r="U2" s="5">
        <v>39.799999999999997</v>
      </c>
      <c r="V2" s="2">
        <v>16.600000000000001</v>
      </c>
      <c r="W2" s="2">
        <v>0.7</v>
      </c>
      <c r="X2" s="10">
        <v>3.9</v>
      </c>
      <c r="Y2" s="14">
        <v>36.1</v>
      </c>
      <c r="Z2" s="14">
        <v>2.8</v>
      </c>
      <c r="AA2" s="3">
        <v>88</v>
      </c>
      <c r="AB2" s="3">
        <v>51.800000000000004</v>
      </c>
      <c r="AC2" s="22">
        <v>16.3</v>
      </c>
      <c r="AD2" s="3">
        <v>38.800000000000004</v>
      </c>
      <c r="AE2" s="3">
        <f>(0.3*P2)+(0.25*R2)+(0.2*G2)+(0.15*U2)+(0.1*Y2)</f>
        <v>37.255000000000003</v>
      </c>
      <c r="AF2" s="3">
        <f>((U2+G2)-V2)*_xlfn.PERCENTRANK.INC($V$2:$V$16,V2)</f>
        <v>16.958699999999997</v>
      </c>
      <c r="AG2" s="3">
        <f>(0.35*I2)+(0.2*K2)+(0.15*O2)+(0.15+X2)+(0.15+W2)</f>
        <v>19.735000000000003</v>
      </c>
      <c r="AH2" s="142">
        <f>(AE2*0.4)+(AF2*0.3)+(AG2*0.3)</f>
        <v>25.91011</v>
      </c>
      <c r="AI2" s="3" t="s">
        <v>77</v>
      </c>
    </row>
    <row r="3" spans="1:35" ht="15" thickBot="1" x14ac:dyDescent="0.35">
      <c r="A3" s="23" t="s">
        <v>48</v>
      </c>
      <c r="B3" s="3" t="s">
        <v>49</v>
      </c>
      <c r="C3" s="3" t="s">
        <v>50</v>
      </c>
      <c r="D3" s="3" t="s">
        <v>51</v>
      </c>
      <c r="E3" s="3">
        <v>40</v>
      </c>
      <c r="F3" s="23">
        <v>80.099999999999994</v>
      </c>
      <c r="G3" s="24">
        <v>5.9</v>
      </c>
      <c r="H3" s="24">
        <v>5.8</v>
      </c>
      <c r="I3" s="24">
        <v>16.600000000000001</v>
      </c>
      <c r="J3" s="24">
        <v>8.9</v>
      </c>
      <c r="K3" s="24">
        <v>7.7</v>
      </c>
      <c r="L3" s="24">
        <v>133.80000000000001</v>
      </c>
      <c r="M3" s="8">
        <f t="shared" ref="M3:M16" si="0">(_xlfn.PERCENTRANK.INC($L$2:$L$16,L3)*100)</f>
        <v>100</v>
      </c>
      <c r="N3" s="24">
        <v>75.900000000000006</v>
      </c>
      <c r="O3" s="3">
        <f t="shared" ref="O3:O16" si="1">100-(_xlfn.PERCENTRANK.INC($N$2:$N$16,N3)*100)</f>
        <v>100</v>
      </c>
      <c r="P3" s="23">
        <v>19.100000000000001</v>
      </c>
      <c r="Q3" s="31">
        <v>62.8</v>
      </c>
      <c r="R3" s="31">
        <v>65.400000000000006</v>
      </c>
      <c r="S3" s="84">
        <v>11.6</v>
      </c>
      <c r="T3" s="25">
        <v>23.9</v>
      </c>
      <c r="U3" s="127">
        <v>7.5</v>
      </c>
      <c r="V3" s="128">
        <v>10</v>
      </c>
      <c r="W3" s="24">
        <v>13.7</v>
      </c>
      <c r="X3" s="42">
        <v>2.5</v>
      </c>
      <c r="Y3" s="33">
        <v>60.2</v>
      </c>
      <c r="Z3" s="133">
        <v>2.4</v>
      </c>
      <c r="AA3" s="3">
        <v>70.899999999999991</v>
      </c>
      <c r="AB3" s="3">
        <v>65.3</v>
      </c>
      <c r="AC3" s="136">
        <v>0.9</v>
      </c>
      <c r="AD3" s="3">
        <v>15</v>
      </c>
      <c r="AE3" s="3">
        <f>(0.3*P3)+(0.25*R3)+(0.2*G3)+(0.15*U3)+(0.1*Y3)</f>
        <v>30.405000000000001</v>
      </c>
      <c r="AF3" s="3">
        <f>((U3+G3)-V3)*_xlfn.PERCENTRANK.INC($V$2:$V$16,V3)</f>
        <v>0</v>
      </c>
      <c r="AG3" s="3">
        <f>(0.35*I3)+(0.2*K3)+(0.15*O3)+(0.15+X3)+(0.15+W3)</f>
        <v>38.85</v>
      </c>
      <c r="AH3" s="142">
        <f>(AE3*0.4)+(AF3*0.3)+(AG3*0.3)</f>
        <v>23.817</v>
      </c>
      <c r="AI3" s="3" t="s">
        <v>77</v>
      </c>
    </row>
    <row r="4" spans="1:35" ht="15" thickBot="1" x14ac:dyDescent="0.35">
      <c r="A4" s="23" t="s">
        <v>41</v>
      </c>
      <c r="B4" s="3" t="s">
        <v>42</v>
      </c>
      <c r="C4" s="3" t="s">
        <v>43</v>
      </c>
      <c r="D4" s="3" t="s">
        <v>44</v>
      </c>
      <c r="E4" s="3">
        <v>35</v>
      </c>
      <c r="F4" s="23">
        <v>88.3</v>
      </c>
      <c r="G4" s="24">
        <v>6.3</v>
      </c>
      <c r="H4" s="24">
        <v>4.5</v>
      </c>
      <c r="I4" s="25">
        <v>9.8000000000000007</v>
      </c>
      <c r="J4" s="25">
        <v>6.9</v>
      </c>
      <c r="K4" s="26">
        <v>2.9</v>
      </c>
      <c r="L4" s="27">
        <v>112.8</v>
      </c>
      <c r="M4" s="8">
        <f t="shared" si="0"/>
        <v>42.8</v>
      </c>
      <c r="N4" s="28">
        <v>89.5</v>
      </c>
      <c r="O4" s="3">
        <f t="shared" si="1"/>
        <v>42.900000000000006</v>
      </c>
      <c r="P4" s="24">
        <v>32.6</v>
      </c>
      <c r="Q4" s="29">
        <v>55.3</v>
      </c>
      <c r="R4" s="30">
        <v>60.7</v>
      </c>
      <c r="S4" s="23">
        <v>5.5</v>
      </c>
      <c r="T4" s="23">
        <v>14.6</v>
      </c>
      <c r="U4" s="31">
        <v>29.2</v>
      </c>
      <c r="V4" s="23">
        <v>19</v>
      </c>
      <c r="W4" s="23">
        <v>1.1000000000000001</v>
      </c>
      <c r="X4" s="32">
        <v>3.1</v>
      </c>
      <c r="Y4" s="33">
        <v>59.7</v>
      </c>
      <c r="Z4" s="34">
        <v>3.2</v>
      </c>
      <c r="AA4" s="3">
        <v>75.599999999999994</v>
      </c>
      <c r="AB4" s="3">
        <v>56.399999999999991</v>
      </c>
      <c r="AC4" s="35">
        <v>8.6</v>
      </c>
      <c r="AD4" s="3">
        <v>35.6</v>
      </c>
      <c r="AE4" s="3">
        <f>(0.3*P4)+(0.25*R4)+(0.2*G4)+(0.15*U4)+(0.1*Y4)</f>
        <v>36.564999999999998</v>
      </c>
      <c r="AF4" s="3">
        <f>((U4+G4)-V4)*_xlfn.PERCENTRANK.INC($V$2:$V$16,V4)</f>
        <v>11.780999999999999</v>
      </c>
      <c r="AG4" s="3">
        <f>(0.35*I4)+(0.2*K4)+(0.15*O4)+(0.15+X4)+(0.15+W4)</f>
        <v>14.945</v>
      </c>
      <c r="AH4" s="142">
        <f>(AE4*0.4)+(AF4*0.3)+(AG4*0.3)</f>
        <v>22.643799999999999</v>
      </c>
      <c r="AI4" s="3" t="s">
        <v>77</v>
      </c>
    </row>
    <row r="5" spans="1:35" ht="15" thickBot="1" x14ac:dyDescent="0.35">
      <c r="A5" s="2" t="s">
        <v>48</v>
      </c>
      <c r="B5" s="3" t="s">
        <v>73</v>
      </c>
      <c r="C5" s="3" t="s">
        <v>74</v>
      </c>
      <c r="D5" s="3" t="s">
        <v>75</v>
      </c>
      <c r="E5" s="3">
        <v>28</v>
      </c>
      <c r="F5" s="2">
        <v>45.9</v>
      </c>
      <c r="G5" s="119">
        <v>2.9</v>
      </c>
      <c r="H5" s="79">
        <v>3.7</v>
      </c>
      <c r="I5" s="5">
        <v>10.6</v>
      </c>
      <c r="J5" s="63">
        <v>4.2</v>
      </c>
      <c r="K5" s="5">
        <v>6.4</v>
      </c>
      <c r="L5" s="119">
        <v>112</v>
      </c>
      <c r="M5" s="8">
        <f t="shared" si="0"/>
        <v>35.699999999999996</v>
      </c>
      <c r="N5" s="5">
        <v>83.6</v>
      </c>
      <c r="O5" s="3">
        <f t="shared" si="1"/>
        <v>85.8</v>
      </c>
      <c r="P5" s="119">
        <v>24.4</v>
      </c>
      <c r="Q5" s="17">
        <v>62.9</v>
      </c>
      <c r="R5" s="10">
        <v>65.5</v>
      </c>
      <c r="S5" s="17">
        <v>12.7</v>
      </c>
      <c r="T5" s="5">
        <v>27.3</v>
      </c>
      <c r="U5" s="2">
        <v>11.5</v>
      </c>
      <c r="V5" s="129">
        <v>24.1</v>
      </c>
      <c r="W5" s="5">
        <v>11.7</v>
      </c>
      <c r="X5" s="2">
        <v>2.2999999999999998</v>
      </c>
      <c r="Y5" s="132">
        <v>83.6</v>
      </c>
      <c r="Z5" s="134">
        <v>5.8</v>
      </c>
      <c r="AA5" s="3">
        <v>68.5</v>
      </c>
      <c r="AB5" s="3">
        <v>63.9</v>
      </c>
      <c r="AC5" s="138">
        <v>0.4</v>
      </c>
      <c r="AD5" s="3">
        <v>20</v>
      </c>
      <c r="AE5" s="3">
        <f>(0.3*P5)+(0.25*R5)+(0.2*G5)+(0.15*U5)+(0.1*Y5)</f>
        <v>34.36</v>
      </c>
      <c r="AF5" s="3">
        <f>((U5+G5)-V5)*_xlfn.PERCENTRANK.INC($V$2:$V$16,V5)</f>
        <v>-9.7000000000000011</v>
      </c>
      <c r="AG5" s="3">
        <f>(0.35*I5)+(0.2*K5)+(0.15*O5)+(0.15+X5)+(0.15+W5)</f>
        <v>32.159999999999997</v>
      </c>
      <c r="AH5" s="142">
        <f>(AE5*0.4)+(AF5*0.3)+(AG5*0.3)</f>
        <v>20.481999999999999</v>
      </c>
      <c r="AI5" s="3" t="s">
        <v>77</v>
      </c>
    </row>
    <row r="6" spans="1:35" ht="15.6" thickTop="1" thickBot="1" x14ac:dyDescent="0.35">
      <c r="A6" s="97" t="s">
        <v>34</v>
      </c>
      <c r="B6" s="3" t="s">
        <v>55</v>
      </c>
      <c r="C6" s="3" t="s">
        <v>56</v>
      </c>
      <c r="D6" s="3" t="s">
        <v>44</v>
      </c>
      <c r="E6" s="3">
        <v>35</v>
      </c>
      <c r="F6" s="97">
        <v>79.099999999999994</v>
      </c>
      <c r="G6" s="104">
        <v>4.8</v>
      </c>
      <c r="H6" s="100">
        <v>3.6</v>
      </c>
      <c r="I6" s="116">
        <v>7.1</v>
      </c>
      <c r="J6" s="98">
        <v>5.8</v>
      </c>
      <c r="K6" s="117">
        <v>1.3</v>
      </c>
      <c r="L6" s="103">
        <v>114.3</v>
      </c>
      <c r="M6" s="8">
        <f t="shared" si="0"/>
        <v>50</v>
      </c>
      <c r="N6" s="122">
        <v>95.1</v>
      </c>
      <c r="O6" s="3">
        <f t="shared" si="1"/>
        <v>21.5</v>
      </c>
      <c r="P6" s="102">
        <v>27.2</v>
      </c>
      <c r="Q6" s="97">
        <v>51.7</v>
      </c>
      <c r="R6" s="97">
        <v>56.3</v>
      </c>
      <c r="S6" s="125">
        <v>2.5</v>
      </c>
      <c r="T6" s="126">
        <v>9.5</v>
      </c>
      <c r="U6" s="104">
        <v>32.700000000000003</v>
      </c>
      <c r="V6" s="97">
        <v>19</v>
      </c>
      <c r="W6" s="109">
        <v>0.2</v>
      </c>
      <c r="X6" s="97">
        <v>2.2999999999999998</v>
      </c>
      <c r="Y6" s="131">
        <v>49.8</v>
      </c>
      <c r="Z6" s="105">
        <v>2.7</v>
      </c>
      <c r="AA6" s="3">
        <v>71.899999999999991</v>
      </c>
      <c r="AB6" s="3">
        <v>51.2</v>
      </c>
      <c r="AC6" s="137">
        <v>8.6</v>
      </c>
      <c r="AD6" s="3">
        <v>34.9</v>
      </c>
      <c r="AE6" s="3">
        <f>(0.3*P6)+(0.25*R6)+(0.2*G6)+(0.15*U6)+(0.1*Y6)</f>
        <v>33.08</v>
      </c>
      <c r="AF6" s="3">
        <f>((U6+G6)-V6)*_xlfn.PERCENTRANK.INC($V$2:$V$16,V6)</f>
        <v>13.209</v>
      </c>
      <c r="AG6" s="3">
        <f>(0.35*I6)+(0.2*K6)+(0.15*O6)+(0.15+X6)+(0.15+W6)</f>
        <v>8.77</v>
      </c>
      <c r="AH6" s="142">
        <f>(AE6*0.4)+(AF6*0.3)+(AG6*0.3)</f>
        <v>19.825699999999998</v>
      </c>
      <c r="AI6" s="3" t="s">
        <v>77</v>
      </c>
    </row>
    <row r="7" spans="1:35" ht="15.6" thickTop="1" thickBot="1" x14ac:dyDescent="0.35">
      <c r="A7" s="97" t="s">
        <v>41</v>
      </c>
      <c r="B7" s="3" t="s">
        <v>57</v>
      </c>
      <c r="C7" s="3" t="s">
        <v>58</v>
      </c>
      <c r="D7" s="3" t="s">
        <v>59</v>
      </c>
      <c r="E7" s="3">
        <v>34</v>
      </c>
      <c r="F7" s="97">
        <v>79.599999999999994</v>
      </c>
      <c r="G7" s="116">
        <v>4.2</v>
      </c>
      <c r="H7" s="115">
        <v>5.3</v>
      </c>
      <c r="I7" s="98">
        <v>8.1999999999999993</v>
      </c>
      <c r="J7" s="116">
        <v>4.9000000000000004</v>
      </c>
      <c r="K7" s="118">
        <v>3.4</v>
      </c>
      <c r="L7" s="121">
        <v>108.7</v>
      </c>
      <c r="M7" s="8">
        <f t="shared" si="0"/>
        <v>14.2</v>
      </c>
      <c r="N7" s="115">
        <v>81.599999999999994</v>
      </c>
      <c r="O7" s="3">
        <f t="shared" si="1"/>
        <v>92.9</v>
      </c>
      <c r="P7" s="100">
        <v>27.7</v>
      </c>
      <c r="Q7" s="97">
        <v>46.3</v>
      </c>
      <c r="R7" s="97">
        <v>50.8</v>
      </c>
      <c r="S7" s="100">
        <v>11.4</v>
      </c>
      <c r="T7" s="115">
        <v>25.9</v>
      </c>
      <c r="U7" s="97">
        <v>16.399999999999999</v>
      </c>
      <c r="V7" s="130">
        <v>15.1</v>
      </c>
      <c r="W7" s="97">
        <v>1.9</v>
      </c>
      <c r="X7" s="101">
        <v>2.8</v>
      </c>
      <c r="Y7" s="105">
        <v>32.1</v>
      </c>
      <c r="Z7" s="105">
        <v>3.1</v>
      </c>
      <c r="AA7" s="3">
        <v>75.900000000000006</v>
      </c>
      <c r="AB7" s="3">
        <v>47.199999999999996</v>
      </c>
      <c r="AC7" s="105">
        <v>4.5</v>
      </c>
      <c r="AD7" s="3">
        <v>28.4</v>
      </c>
      <c r="AE7" s="3">
        <f>(0.3*P7)+(0.25*R7)+(0.2*G7)+(0.15*U7)+(0.1*Y7)</f>
        <v>27.52</v>
      </c>
      <c r="AF7" s="3">
        <f>((U7+G7)-V7)*_xlfn.PERCENTRANK.INC($V$2:$V$16,V7)</f>
        <v>2.3539999999999992</v>
      </c>
      <c r="AG7" s="3">
        <f>(0.35*I7)+(0.2*K7)+(0.15*O7)+(0.15+X7)+(0.15+W7)</f>
        <v>22.484999999999999</v>
      </c>
      <c r="AH7" s="142">
        <f>(AE7*0.4)+(AF7*0.3)+(AG7*0.3)</f>
        <v>18.459699999999998</v>
      </c>
      <c r="AI7" s="3" t="s">
        <v>77</v>
      </c>
    </row>
    <row r="8" spans="1:35" ht="15" thickBot="1" x14ac:dyDescent="0.35">
      <c r="A8" s="2" t="s">
        <v>34</v>
      </c>
      <c r="B8" s="3" t="s">
        <v>35</v>
      </c>
      <c r="C8" s="3" t="s">
        <v>36</v>
      </c>
      <c r="D8" s="3" t="s">
        <v>37</v>
      </c>
      <c r="E8" s="3">
        <v>41</v>
      </c>
      <c r="F8" s="2">
        <v>92.4</v>
      </c>
      <c r="G8" s="5">
        <v>7.2</v>
      </c>
      <c r="H8" s="5">
        <v>4.7</v>
      </c>
      <c r="I8" s="5">
        <v>12.3</v>
      </c>
      <c r="J8" s="5">
        <v>9</v>
      </c>
      <c r="K8" s="6">
        <v>3.2</v>
      </c>
      <c r="L8" s="7">
        <v>117.8</v>
      </c>
      <c r="M8" s="8">
        <f t="shared" si="0"/>
        <v>64.2</v>
      </c>
      <c r="N8" s="9">
        <v>91.3</v>
      </c>
      <c r="O8" s="3">
        <f t="shared" si="1"/>
        <v>35.799999999999997</v>
      </c>
      <c r="P8" s="10">
        <v>31.5</v>
      </c>
      <c r="Q8" s="2">
        <v>47.8</v>
      </c>
      <c r="R8" s="2">
        <v>54.3</v>
      </c>
      <c r="S8" s="2">
        <v>3.9</v>
      </c>
      <c r="T8" s="2">
        <v>11.5</v>
      </c>
      <c r="U8" s="11">
        <v>28</v>
      </c>
      <c r="V8" s="12">
        <v>11.8</v>
      </c>
      <c r="W8" s="13">
        <v>0.5</v>
      </c>
      <c r="X8" s="7">
        <v>3.1</v>
      </c>
      <c r="Y8" s="14">
        <v>42.6</v>
      </c>
      <c r="Z8" s="15">
        <v>1.5</v>
      </c>
      <c r="AA8" s="3">
        <v>81.899999999999991</v>
      </c>
      <c r="AB8" s="3">
        <v>47.099999999999994</v>
      </c>
      <c r="AC8" s="16">
        <v>9</v>
      </c>
      <c r="AD8" s="3">
        <v>33</v>
      </c>
      <c r="AE8" s="3">
        <f>(0.3*P8)+(0.25*R8)+(0.2*G8)+(0.15*U8)+(0.1*Y8)</f>
        <v>32.924999999999997</v>
      </c>
      <c r="AF8" s="3">
        <f>((U8+G8)-V8)*_xlfn.PERCENTRANK.INC($V$2:$V$16,V8)</f>
        <v>3.3228</v>
      </c>
      <c r="AG8" s="3">
        <f>(0.35*I8)+(0.2*K8)+(0.15*O8)+(0.15+X8)+(0.15+W8)</f>
        <v>14.215</v>
      </c>
      <c r="AH8" s="142">
        <f>(AE8*0.4)+(AF8*0.3)+(AG8*0.3)</f>
        <v>18.431339999999999</v>
      </c>
      <c r="AI8" s="3" t="s">
        <v>77</v>
      </c>
    </row>
    <row r="9" spans="1:35" ht="15" thickBot="1" x14ac:dyDescent="0.35">
      <c r="A9" s="23" t="s">
        <v>41</v>
      </c>
      <c r="B9" s="3" t="s">
        <v>65</v>
      </c>
      <c r="C9" s="3" t="s">
        <v>66</v>
      </c>
      <c r="D9" s="3" t="s">
        <v>44</v>
      </c>
      <c r="E9" s="3">
        <v>38</v>
      </c>
      <c r="F9" s="23">
        <v>84.6</v>
      </c>
      <c r="G9" s="39">
        <v>3.8</v>
      </c>
      <c r="H9" s="24">
        <v>4.7</v>
      </c>
      <c r="I9" s="84">
        <v>6.6</v>
      </c>
      <c r="J9" s="85">
        <v>3.1</v>
      </c>
      <c r="K9" s="39">
        <v>3.5</v>
      </c>
      <c r="L9" s="86">
        <v>109</v>
      </c>
      <c r="M9" s="8">
        <f t="shared" si="0"/>
        <v>28.499999999999996</v>
      </c>
      <c r="N9" s="87">
        <v>86.9</v>
      </c>
      <c r="O9" s="3">
        <f t="shared" si="1"/>
        <v>64.300000000000011</v>
      </c>
      <c r="P9" s="23">
        <v>22.5</v>
      </c>
      <c r="Q9" s="23">
        <v>49.3</v>
      </c>
      <c r="R9" s="23">
        <v>53.3</v>
      </c>
      <c r="S9" s="23">
        <v>5.9</v>
      </c>
      <c r="T9" s="88">
        <v>8.4</v>
      </c>
      <c r="U9" s="26">
        <v>24</v>
      </c>
      <c r="V9" s="23">
        <v>19.899999999999999</v>
      </c>
      <c r="W9" s="23">
        <v>0.6</v>
      </c>
      <c r="X9" s="89">
        <v>2.9</v>
      </c>
      <c r="Y9" s="34">
        <v>38.6</v>
      </c>
      <c r="Z9" s="34">
        <v>2.9</v>
      </c>
      <c r="AA9" s="3">
        <v>70.899999999999991</v>
      </c>
      <c r="AB9" s="3">
        <v>49.7</v>
      </c>
      <c r="AC9" s="34">
        <v>3.5</v>
      </c>
      <c r="AD9" s="3">
        <v>32</v>
      </c>
      <c r="AE9" s="3">
        <f>(0.3*P9)+(0.25*R9)+(0.2*G9)+(0.15*U9)+(0.1*Y9)</f>
        <v>28.295000000000002</v>
      </c>
      <c r="AF9" s="3">
        <f>((U9+G9)-V9)*_xlfn.PERCENTRANK.INC($V$2:$V$16,V9)</f>
        <v>6.7703000000000015</v>
      </c>
      <c r="AG9" s="3">
        <f>(0.35*I9)+(0.2*K9)+(0.15*O9)+(0.15+X9)+(0.15+W9)</f>
        <v>16.455000000000002</v>
      </c>
      <c r="AH9" s="142">
        <f>(AE9*0.4)+(AF9*0.3)+(AG9*0.3)</f>
        <v>18.285590000000003</v>
      </c>
      <c r="AI9" s="3" t="s">
        <v>77</v>
      </c>
    </row>
    <row r="10" spans="1:35" ht="15" thickBot="1" x14ac:dyDescent="0.35">
      <c r="A10" s="23" t="s">
        <v>34</v>
      </c>
      <c r="B10" s="3" t="s">
        <v>45</v>
      </c>
      <c r="C10" s="3" t="s">
        <v>46</v>
      </c>
      <c r="D10" s="3" t="s">
        <v>47</v>
      </c>
      <c r="E10" s="3">
        <v>30</v>
      </c>
      <c r="F10" s="23">
        <v>87.2</v>
      </c>
      <c r="G10" s="24">
        <v>6.3</v>
      </c>
      <c r="H10" s="36">
        <v>2.9</v>
      </c>
      <c r="I10" s="25">
        <v>9.8000000000000007</v>
      </c>
      <c r="J10" s="24">
        <v>8.9</v>
      </c>
      <c r="K10" s="23">
        <v>0.9</v>
      </c>
      <c r="L10" s="37">
        <v>122.3</v>
      </c>
      <c r="M10" s="8">
        <f t="shared" si="0"/>
        <v>92.800000000000011</v>
      </c>
      <c r="N10" s="23">
        <v>103.4</v>
      </c>
      <c r="O10" s="3">
        <f t="shared" si="1"/>
        <v>0</v>
      </c>
      <c r="P10" s="24">
        <v>32.299999999999997</v>
      </c>
      <c r="Q10" s="38">
        <v>54.5</v>
      </c>
      <c r="R10" s="39">
        <v>62.1</v>
      </c>
      <c r="S10" s="40">
        <v>1.9</v>
      </c>
      <c r="T10" s="23">
        <v>14.1</v>
      </c>
      <c r="U10" s="37">
        <v>28</v>
      </c>
      <c r="V10" s="41">
        <v>12</v>
      </c>
      <c r="W10" s="23">
        <v>0.7</v>
      </c>
      <c r="X10" s="42">
        <v>2.5</v>
      </c>
      <c r="Y10" s="43">
        <v>51.4</v>
      </c>
      <c r="Z10" s="44">
        <v>2.2999999999999998</v>
      </c>
      <c r="AA10" s="3">
        <v>88.5</v>
      </c>
      <c r="AB10" s="3">
        <v>50.4</v>
      </c>
      <c r="AC10" s="45">
        <v>12.3</v>
      </c>
      <c r="AD10" s="3">
        <v>39.6</v>
      </c>
      <c r="AE10" s="3">
        <f>(0.3*P10)+(0.25*R10)+(0.2*G10)+(0.15*U10)+(0.1*Y10)</f>
        <v>35.814999999999998</v>
      </c>
      <c r="AF10" s="3">
        <f>((U10+G10)-V10)*_xlfn.PERCENTRANK.INC($V$2:$V$16,V10)</f>
        <v>4.7721999999999989</v>
      </c>
      <c r="AG10" s="3">
        <f>(0.35*I10)+(0.2*K10)+(0.15*O10)+(0.15+X10)+(0.15+W10)</f>
        <v>7.1099999999999994</v>
      </c>
      <c r="AH10" s="142">
        <f>(AE10*0.4)+(AF10*0.3)+(AG10*0.3)</f>
        <v>17.89066</v>
      </c>
      <c r="AI10" s="3" t="s">
        <v>77</v>
      </c>
    </row>
    <row r="11" spans="1:35" ht="15" thickBot="1" x14ac:dyDescent="0.35">
      <c r="A11" s="2" t="s">
        <v>41</v>
      </c>
      <c r="B11" s="3" t="s">
        <v>69</v>
      </c>
      <c r="C11" s="3" t="s">
        <v>70</v>
      </c>
      <c r="D11" s="3" t="s">
        <v>71</v>
      </c>
      <c r="E11" s="3">
        <v>28</v>
      </c>
      <c r="F11" s="2">
        <v>72.599999999999994</v>
      </c>
      <c r="G11" s="20">
        <v>3.4</v>
      </c>
      <c r="H11" s="17">
        <v>4</v>
      </c>
      <c r="I11" s="79">
        <v>6.7</v>
      </c>
      <c r="J11" s="59">
        <v>4.3</v>
      </c>
      <c r="K11" s="72">
        <v>2.4</v>
      </c>
      <c r="L11" s="2">
        <v>105.6</v>
      </c>
      <c r="M11" s="8">
        <f t="shared" si="0"/>
        <v>7.1</v>
      </c>
      <c r="N11" s="12">
        <v>92.8</v>
      </c>
      <c r="O11" s="3">
        <f t="shared" si="1"/>
        <v>28.600000000000009</v>
      </c>
      <c r="P11" s="63">
        <v>27.3</v>
      </c>
      <c r="Q11" s="2">
        <v>51</v>
      </c>
      <c r="R11" s="124">
        <v>57.2</v>
      </c>
      <c r="S11" s="2">
        <v>6.8</v>
      </c>
      <c r="T11" s="20">
        <v>18.600000000000001</v>
      </c>
      <c r="U11" s="61">
        <v>22.6</v>
      </c>
      <c r="V11" s="2">
        <v>20.8</v>
      </c>
      <c r="W11" s="2">
        <v>3</v>
      </c>
      <c r="X11" s="10">
        <v>3.9</v>
      </c>
      <c r="Y11" s="14">
        <v>34.799999999999997</v>
      </c>
      <c r="Z11" s="14">
        <v>3.5</v>
      </c>
      <c r="AA11" s="3">
        <v>90.2</v>
      </c>
      <c r="AB11" s="3">
        <v>48.9</v>
      </c>
      <c r="AC11" s="139">
        <v>10.4</v>
      </c>
      <c r="AD11" s="3">
        <v>35.6</v>
      </c>
      <c r="AE11" s="3">
        <f>(0.3*P11)+(0.25*R11)+(0.2*G11)+(0.15*U11)+(0.1*Y11)</f>
        <v>30.040000000000003</v>
      </c>
      <c r="AF11" s="3">
        <f>((U11+G11)-V11)*_xlfn.PERCENTRANK.INC($V$2:$V$16,V11)</f>
        <v>4.8255999999999997</v>
      </c>
      <c r="AG11" s="3">
        <f>(0.35*I11)+(0.2*K11)+(0.15*O11)+(0.15+X11)+(0.15+W11)</f>
        <v>14.315</v>
      </c>
      <c r="AH11" s="142">
        <f>(AE11*0.4)+(AF11*0.3)+(AG11*0.3)</f>
        <v>17.758180000000003</v>
      </c>
      <c r="AI11" s="3" t="s">
        <v>77</v>
      </c>
    </row>
    <row r="12" spans="1:35" ht="15" thickBot="1" x14ac:dyDescent="0.35">
      <c r="A12" s="23" t="s">
        <v>41</v>
      </c>
      <c r="B12" s="3" t="s">
        <v>60</v>
      </c>
      <c r="C12" s="3" t="s">
        <v>61</v>
      </c>
      <c r="D12" s="3" t="s">
        <v>62</v>
      </c>
      <c r="E12" s="3">
        <v>34</v>
      </c>
      <c r="F12" s="23">
        <v>80.099999999999994</v>
      </c>
      <c r="G12" s="37">
        <v>4.2</v>
      </c>
      <c r="H12" s="24">
        <v>4.8</v>
      </c>
      <c r="I12" s="25">
        <v>10.1</v>
      </c>
      <c r="J12" s="37">
        <v>5.3</v>
      </c>
      <c r="K12" s="31">
        <v>4.8</v>
      </c>
      <c r="L12" s="73">
        <v>114.4</v>
      </c>
      <c r="M12" s="8">
        <f t="shared" si="0"/>
        <v>57.099999999999994</v>
      </c>
      <c r="N12" s="74">
        <v>86.4</v>
      </c>
      <c r="O12" s="3">
        <f t="shared" si="1"/>
        <v>78.599999999999994</v>
      </c>
      <c r="P12" s="75">
        <v>23.3</v>
      </c>
      <c r="Q12" s="23">
        <v>49.8</v>
      </c>
      <c r="R12" s="23">
        <v>53.4</v>
      </c>
      <c r="S12" s="23">
        <v>3.7</v>
      </c>
      <c r="T12" s="23">
        <v>12.9</v>
      </c>
      <c r="U12" s="23">
        <v>16</v>
      </c>
      <c r="V12" s="76">
        <v>12.7</v>
      </c>
      <c r="W12" s="23">
        <v>1.7</v>
      </c>
      <c r="X12" s="25">
        <v>3.7</v>
      </c>
      <c r="Y12" s="77">
        <v>24.3</v>
      </c>
      <c r="Z12" s="34">
        <v>3.2</v>
      </c>
      <c r="AA12" s="3">
        <v>80.600000000000009</v>
      </c>
      <c r="AB12" s="3">
        <v>46.300000000000004</v>
      </c>
      <c r="AC12" s="78">
        <v>12</v>
      </c>
      <c r="AD12" s="3">
        <v>35.4</v>
      </c>
      <c r="AE12" s="3">
        <f>(0.3*P12)+(0.25*R12)+(0.2*G12)+(0.15*U12)+(0.1*Y12)</f>
        <v>26.009999999999998</v>
      </c>
      <c r="AF12" s="3">
        <f>((U12+G12)-V12)*_xlfn.PERCENTRANK.INC($V$2:$V$16,V12)</f>
        <v>2.1374999999999997</v>
      </c>
      <c r="AG12" s="3">
        <f>(0.35*I12)+(0.2*K12)+(0.15*O12)+(0.15+X12)+(0.15+W12)</f>
        <v>21.984999999999999</v>
      </c>
      <c r="AH12" s="142">
        <f>(AE12*0.4)+(AF12*0.3)+(AG12*0.3)</f>
        <v>17.640749999999997</v>
      </c>
      <c r="AI12" s="3" t="s">
        <v>77</v>
      </c>
    </row>
    <row r="13" spans="1:35" ht="15.6" thickTop="1" thickBot="1" x14ac:dyDescent="0.35">
      <c r="A13" s="97" t="s">
        <v>48</v>
      </c>
      <c r="B13" s="3" t="s">
        <v>63</v>
      </c>
      <c r="C13" s="3" t="s">
        <v>64</v>
      </c>
      <c r="D13" s="3" t="s">
        <v>62</v>
      </c>
      <c r="E13" s="3">
        <v>29</v>
      </c>
      <c r="F13" s="97">
        <v>65.3</v>
      </c>
      <c r="G13" s="116">
        <v>4.2</v>
      </c>
      <c r="H13" s="115">
        <v>4.7</v>
      </c>
      <c r="I13" s="99">
        <v>6.7</v>
      </c>
      <c r="J13" s="102">
        <v>4</v>
      </c>
      <c r="K13" s="107">
        <v>2.6</v>
      </c>
      <c r="L13" s="120">
        <v>108.9</v>
      </c>
      <c r="M13" s="8">
        <f t="shared" si="0"/>
        <v>21.4</v>
      </c>
      <c r="N13" s="123">
        <v>89.3</v>
      </c>
      <c r="O13" s="3">
        <f t="shared" si="1"/>
        <v>50</v>
      </c>
      <c r="P13" s="103">
        <v>25.4</v>
      </c>
      <c r="Q13" s="97">
        <v>50.7</v>
      </c>
      <c r="R13" s="121">
        <v>56.6</v>
      </c>
      <c r="S13" s="97">
        <v>4.9000000000000004</v>
      </c>
      <c r="T13" s="102">
        <v>19.7</v>
      </c>
      <c r="U13" s="97">
        <v>12.4</v>
      </c>
      <c r="V13" s="97">
        <v>17.7</v>
      </c>
      <c r="W13" s="121">
        <v>3.2</v>
      </c>
      <c r="X13" s="97">
        <v>2.2999999999999998</v>
      </c>
      <c r="Y13" s="105">
        <v>38.1</v>
      </c>
      <c r="Z13" s="135">
        <v>3.6</v>
      </c>
      <c r="AA13" s="3">
        <v>84.899999999999991</v>
      </c>
      <c r="AB13" s="3">
        <v>50.4</v>
      </c>
      <c r="AC13" s="105">
        <v>6.9</v>
      </c>
      <c r="AD13" s="3">
        <v>34.200000000000003</v>
      </c>
      <c r="AE13" s="3">
        <f>(0.3*P13)+(0.25*R13)+(0.2*G13)+(0.15*U13)+(0.1*Y13)</f>
        <v>28.28</v>
      </c>
      <c r="AF13" s="3">
        <f>((U13+G13)-V13)*_xlfn.PERCENTRANK.INC($V$2:$V$16,V13)</f>
        <v>-0.70619999999999861</v>
      </c>
      <c r="AG13" s="3">
        <f>(0.35*I13)+(0.2*K13)+(0.15*O13)+(0.15+X13)+(0.15+W13)</f>
        <v>16.164999999999999</v>
      </c>
      <c r="AH13" s="142">
        <f>(AE13*0.4)+(AF13*0.3)+(AG13*0.3)</f>
        <v>15.949640000000002</v>
      </c>
      <c r="AI13" s="3" t="s">
        <v>77</v>
      </c>
    </row>
    <row r="14" spans="1:35" ht="15.6" thickTop="1" thickBot="1" x14ac:dyDescent="0.35">
      <c r="A14" s="46" t="s">
        <v>52</v>
      </c>
      <c r="B14" s="3" t="s">
        <v>53</v>
      </c>
      <c r="C14" s="3" t="s">
        <v>54</v>
      </c>
      <c r="D14" s="3" t="s">
        <v>37</v>
      </c>
      <c r="E14" s="3">
        <v>37</v>
      </c>
      <c r="F14" s="46">
        <v>86.3</v>
      </c>
      <c r="G14" s="47">
        <v>5.2</v>
      </c>
      <c r="H14" s="49">
        <v>3.9</v>
      </c>
      <c r="I14" s="47">
        <v>8.5</v>
      </c>
      <c r="J14" s="47">
        <v>6.7</v>
      </c>
      <c r="K14" s="50">
        <v>1.7</v>
      </c>
      <c r="L14" s="49">
        <v>122</v>
      </c>
      <c r="M14" s="8">
        <f t="shared" si="0"/>
        <v>85.7</v>
      </c>
      <c r="N14" s="51">
        <v>95.7</v>
      </c>
      <c r="O14" s="3">
        <f t="shared" si="1"/>
        <v>14.299999999999997</v>
      </c>
      <c r="P14" s="46">
        <v>21.2</v>
      </c>
      <c r="Q14" s="46">
        <v>51.6</v>
      </c>
      <c r="R14" s="52">
        <v>58.7</v>
      </c>
      <c r="S14" s="50">
        <v>8.1999999999999993</v>
      </c>
      <c r="T14" s="46">
        <v>12</v>
      </c>
      <c r="U14" s="46">
        <v>13.2</v>
      </c>
      <c r="V14" s="53">
        <v>11.6</v>
      </c>
      <c r="W14" s="46">
        <v>1.1000000000000001</v>
      </c>
      <c r="X14" s="54">
        <v>2.4</v>
      </c>
      <c r="Y14" s="55">
        <v>62.8</v>
      </c>
      <c r="Z14" s="56">
        <v>1.5</v>
      </c>
      <c r="AA14" s="3">
        <v>78.3</v>
      </c>
      <c r="AB14" s="3">
        <v>51.5</v>
      </c>
      <c r="AC14" s="57">
        <v>2.6</v>
      </c>
      <c r="AD14" s="3">
        <v>34.5</v>
      </c>
      <c r="AE14" s="3">
        <f>(0.3*P14)+(0.25*R14)+(0.2*G14)+(0.15*U14)+(0.1*Y14)</f>
        <v>30.335000000000001</v>
      </c>
      <c r="AF14" s="3">
        <f>((U14+G14)-V14)*_xlfn.PERCENTRANK.INC($V$2:$V$16,V14)</f>
        <v>0.4827999999999999</v>
      </c>
      <c r="AG14" s="3">
        <f>(0.35*I14)+(0.2*K14)+(0.15*O14)+(0.15+X14)+(0.15+W14)</f>
        <v>9.259999999999998</v>
      </c>
      <c r="AH14" s="142">
        <f>(AE14*0.4)+(AF14*0.3)+(AG14*0.3)</f>
        <v>15.056839999999999</v>
      </c>
      <c r="AI14" s="3" t="s">
        <v>77</v>
      </c>
    </row>
    <row r="15" spans="1:35" ht="15.6" thickTop="1" thickBot="1" x14ac:dyDescent="0.35">
      <c r="A15" s="97" t="s">
        <v>48</v>
      </c>
      <c r="B15" s="3" t="s">
        <v>72</v>
      </c>
      <c r="C15" s="3" t="s">
        <v>50</v>
      </c>
      <c r="D15" s="3" t="s">
        <v>51</v>
      </c>
      <c r="E15" s="3">
        <v>38</v>
      </c>
      <c r="F15" s="97">
        <v>51.9</v>
      </c>
      <c r="G15" s="140">
        <v>3</v>
      </c>
      <c r="H15" s="101">
        <v>3.2</v>
      </c>
      <c r="I15" s="98">
        <v>8.1</v>
      </c>
      <c r="J15" s="98">
        <v>5.6</v>
      </c>
      <c r="K15" s="101">
        <v>2.5</v>
      </c>
      <c r="L15" s="99">
        <v>121</v>
      </c>
      <c r="M15" s="8">
        <f t="shared" si="0"/>
        <v>78.5</v>
      </c>
      <c r="N15" s="106">
        <v>86.5</v>
      </c>
      <c r="O15" s="3">
        <f t="shared" si="1"/>
        <v>71.5</v>
      </c>
      <c r="P15" s="97">
        <v>20.5</v>
      </c>
      <c r="Q15" s="107">
        <v>57.1</v>
      </c>
      <c r="R15" s="108">
        <v>60</v>
      </c>
      <c r="S15" s="109">
        <v>2.6</v>
      </c>
      <c r="T15" s="110">
        <v>7.8</v>
      </c>
      <c r="U15" s="97">
        <v>10.9</v>
      </c>
      <c r="V15" s="111">
        <v>13.8</v>
      </c>
      <c r="W15" s="112">
        <v>0.3</v>
      </c>
      <c r="X15" s="109">
        <v>1.3</v>
      </c>
      <c r="Y15" s="113">
        <v>22.3</v>
      </c>
      <c r="Z15" s="105">
        <v>2.8</v>
      </c>
      <c r="AA15" s="3">
        <v>82.8</v>
      </c>
      <c r="AB15" s="3">
        <v>52.7</v>
      </c>
      <c r="AC15" s="114">
        <v>10.8</v>
      </c>
      <c r="AD15" s="3">
        <v>41.099999999999994</v>
      </c>
      <c r="AE15" s="3">
        <f>(0.3*P15)+(0.25*R15)+(0.2*G15)+(0.15*U15)+(0.1*Y15)</f>
        <v>25.615000000000002</v>
      </c>
      <c r="AF15" s="3">
        <f>((U15+G15)-V15)*_xlfn.PERCENTRANK.INC($V$2:$V$16,V15)</f>
        <v>3.5699999999999871E-2</v>
      </c>
      <c r="AG15" s="3">
        <f>(0.35*I15)+(0.2*K15)+(0.15*O15)+(0.15+X15)+(0.15+W15)</f>
        <v>15.959999999999997</v>
      </c>
      <c r="AH15" s="142">
        <f>(AE15*0.4)+(AF15*0.3)+(AG15*0.3)</f>
        <v>15.044710000000002</v>
      </c>
      <c r="AI15" s="3" t="s">
        <v>77</v>
      </c>
    </row>
    <row r="16" spans="1:35" ht="15.6" thickTop="1" thickBot="1" x14ac:dyDescent="0.35">
      <c r="A16" s="46" t="s">
        <v>48</v>
      </c>
      <c r="B16" s="3" t="s">
        <v>67</v>
      </c>
      <c r="C16" s="3" t="s">
        <v>68</v>
      </c>
      <c r="D16" s="3" t="s">
        <v>51</v>
      </c>
      <c r="E16" s="3">
        <v>31</v>
      </c>
      <c r="F16" s="46">
        <v>81.3</v>
      </c>
      <c r="G16" s="141">
        <v>3.8</v>
      </c>
      <c r="H16" s="90">
        <v>3.3</v>
      </c>
      <c r="I16" s="91">
        <v>4.9000000000000004</v>
      </c>
      <c r="J16" s="92">
        <v>4.4000000000000004</v>
      </c>
      <c r="K16" s="46">
        <v>0.5</v>
      </c>
      <c r="L16" s="46">
        <v>103</v>
      </c>
      <c r="M16" s="8">
        <f t="shared" si="0"/>
        <v>0</v>
      </c>
      <c r="N16" s="93">
        <v>98.3</v>
      </c>
      <c r="O16" s="3">
        <f t="shared" si="1"/>
        <v>7.1999999999999886</v>
      </c>
      <c r="P16" s="49">
        <v>28.8</v>
      </c>
      <c r="Q16" s="46">
        <v>47</v>
      </c>
      <c r="R16" s="46">
        <v>51.7</v>
      </c>
      <c r="S16" s="48">
        <v>2.4</v>
      </c>
      <c r="T16" s="46">
        <v>14.5</v>
      </c>
      <c r="U16" s="46">
        <v>17.899999999999999</v>
      </c>
      <c r="V16" s="94">
        <v>15.4</v>
      </c>
      <c r="W16" s="46">
        <v>1.6</v>
      </c>
      <c r="X16" s="46">
        <v>2.2999999999999998</v>
      </c>
      <c r="Y16" s="95">
        <v>33.799999999999997</v>
      </c>
      <c r="Z16" s="95">
        <v>2.7</v>
      </c>
      <c r="AA16" s="3">
        <v>77</v>
      </c>
      <c r="AB16" s="3">
        <v>50.2</v>
      </c>
      <c r="AC16" s="96">
        <v>12.8</v>
      </c>
      <c r="AD16" s="3">
        <v>29.099999999999998</v>
      </c>
      <c r="AE16" s="3">
        <f>(0.3*P16)+(0.25*R16)+(0.2*G16)+(0.15*U16)+(0.1*Y16)</f>
        <v>28.39</v>
      </c>
      <c r="AF16" s="3">
        <f>((U16+G16)-V16)*_xlfn.PERCENTRANK.INC($V$2:$V$16,V16)</f>
        <v>3.1499999999999995</v>
      </c>
      <c r="AG16" s="3">
        <f>(0.35*I16)+(0.2*K16)+(0.15*O16)+(0.15+X16)+(0.15+W16)</f>
        <v>7.0949999999999989</v>
      </c>
      <c r="AH16" s="142">
        <f>(AE16*0.4)+(AF16*0.3)+(AG16*0.3)</f>
        <v>14.429500000000001</v>
      </c>
      <c r="AI16" s="3" t="s">
        <v>77</v>
      </c>
    </row>
    <row r="17" spans="1:35" ht="15" thickBot="1" x14ac:dyDescent="0.35">
      <c r="A17" s="2" t="s">
        <v>34</v>
      </c>
      <c r="B17" s="3" t="s">
        <v>78</v>
      </c>
      <c r="C17" s="3" t="s">
        <v>79</v>
      </c>
      <c r="D17" s="3" t="s">
        <v>80</v>
      </c>
      <c r="E17" s="3">
        <v>22</v>
      </c>
      <c r="F17" s="2">
        <v>76.900000000000006</v>
      </c>
      <c r="G17" s="4">
        <v>5.7</v>
      </c>
      <c r="H17" s="5">
        <v>4.5</v>
      </c>
      <c r="I17" s="5">
        <v>11.4</v>
      </c>
      <c r="J17" s="10">
        <v>6.8</v>
      </c>
      <c r="K17" s="17">
        <v>4.5999999999999996</v>
      </c>
      <c r="L17" s="5">
        <v>130.69999999999999</v>
      </c>
      <c r="M17" s="3">
        <f>(_xlfn.PERCENTRANK.INC($L$17:$L$166,L17)*100)</f>
        <v>81.2</v>
      </c>
      <c r="N17" s="144">
        <v>92</v>
      </c>
      <c r="O17" s="3">
        <f>100-(_xlfn.PERCENTRANK.INC($N$2:$N$151,N17)*100)</f>
        <v>83.9</v>
      </c>
      <c r="P17" s="145">
        <v>26.2</v>
      </c>
      <c r="Q17" s="2">
        <v>49.5</v>
      </c>
      <c r="R17" s="80">
        <v>59.9</v>
      </c>
      <c r="S17" s="146">
        <v>2.1</v>
      </c>
      <c r="T17" s="147">
        <v>7.7</v>
      </c>
      <c r="U17" s="5">
        <v>51.6</v>
      </c>
      <c r="V17" s="148">
        <v>16.2</v>
      </c>
      <c r="W17" s="66">
        <v>0.2</v>
      </c>
      <c r="X17" s="60">
        <v>2.4</v>
      </c>
      <c r="Y17" s="149">
        <v>63.3</v>
      </c>
      <c r="Z17" s="14">
        <v>2.7</v>
      </c>
      <c r="AA17" s="150">
        <v>89.5</v>
      </c>
      <c r="AB17" s="150">
        <v>53.1</v>
      </c>
      <c r="AC17" s="14">
        <v>5.6</v>
      </c>
      <c r="AD17" s="150">
        <v>27.700000000000003</v>
      </c>
      <c r="AE17" s="150">
        <f>(0.3*P17)+(0.25*R17)+(0.2*G17)+(0.15*U17)+(0.1*Y17)</f>
        <v>38.045000000000002</v>
      </c>
      <c r="AF17" s="150">
        <f>((U17+G17)-V17)*_xlfn.PERCENTRANK.INC($V$2:$V$151,V17)</f>
        <v>30.578400000000006</v>
      </c>
      <c r="AG17" s="150">
        <f>(0.35*I17)+(0.2*K17)+(0.15*O17)+(0.15+X17)+(0.15+W17)</f>
        <v>20.395000000000003</v>
      </c>
      <c r="AH17" s="297">
        <f>(AE17*0.4)+(AF17*0.3)+(AG17*0.3)</f>
        <v>30.510020000000004</v>
      </c>
      <c r="AI17" s="3" t="s">
        <v>345</v>
      </c>
    </row>
    <row r="18" spans="1:35" ht="15" thickBot="1" x14ac:dyDescent="0.35">
      <c r="A18" s="2" t="s">
        <v>52</v>
      </c>
      <c r="B18" s="3" t="s">
        <v>81</v>
      </c>
      <c r="C18" s="3" t="s">
        <v>82</v>
      </c>
      <c r="D18" s="3" t="s">
        <v>62</v>
      </c>
      <c r="E18" s="3">
        <v>23</v>
      </c>
      <c r="F18" s="2">
        <v>69.2</v>
      </c>
      <c r="G18" s="151">
        <v>4.5</v>
      </c>
      <c r="H18" s="63">
        <v>3.6</v>
      </c>
      <c r="I18" s="10">
        <v>8.8000000000000007</v>
      </c>
      <c r="J18" s="11">
        <v>4.9000000000000004</v>
      </c>
      <c r="K18" s="59">
        <v>3.9</v>
      </c>
      <c r="L18" s="17">
        <v>123.8</v>
      </c>
      <c r="M18" s="3">
        <f t="shared" ref="M18:M81" si="2">(_xlfn.PERCENTRANK.INC($L$17:$L$166,L18)*100)</f>
        <v>48.3</v>
      </c>
      <c r="N18" s="71">
        <v>97.1</v>
      </c>
      <c r="O18" s="3">
        <f>100-(_xlfn.PERCENTRANK.INC($N$2:$N$151,N18)*100)</f>
        <v>64.5</v>
      </c>
      <c r="P18" s="7">
        <v>26.9</v>
      </c>
      <c r="Q18" s="20">
        <v>57.7</v>
      </c>
      <c r="R18" s="79">
        <v>62.9</v>
      </c>
      <c r="S18" s="152">
        <v>2.4</v>
      </c>
      <c r="T18" s="2">
        <v>12</v>
      </c>
      <c r="U18" s="5">
        <v>43.7</v>
      </c>
      <c r="V18" s="2">
        <v>19.399999999999999</v>
      </c>
      <c r="W18" s="66">
        <v>0.2</v>
      </c>
      <c r="X18" s="11">
        <v>3.5</v>
      </c>
      <c r="Y18" s="153">
        <v>60.5</v>
      </c>
      <c r="Z18" s="154">
        <v>4.5</v>
      </c>
      <c r="AA18" s="150">
        <v>77.100000000000009</v>
      </c>
      <c r="AB18" s="150">
        <v>53.6</v>
      </c>
      <c r="AC18" s="14">
        <v>3.9</v>
      </c>
      <c r="AD18" s="150">
        <v>47.699999999999996</v>
      </c>
      <c r="AE18" s="150">
        <f>(0.3*P18)+(0.25*R18)+(0.2*G18)+(0.15*U18)+(0.1*Y18)</f>
        <v>37.299999999999997</v>
      </c>
      <c r="AF18" s="150">
        <f>((U18+G18)-V18)*_xlfn.PERCENTRANK.INC($V$2:$V$151,V18)</f>
        <v>27.446400000000004</v>
      </c>
      <c r="AG18" s="150">
        <f>(0.35*I18)+(0.2*K18)+(0.15*O18)+(0.15+X18)+(0.15+W18)</f>
        <v>17.535</v>
      </c>
      <c r="AH18" s="297">
        <f>(AE18*0.4)+(AF18*0.3)+(AG18*0.3)</f>
        <v>28.41442</v>
      </c>
      <c r="AI18" s="3" t="s">
        <v>345</v>
      </c>
    </row>
    <row r="19" spans="1:35" ht="15" thickBot="1" x14ac:dyDescent="0.35">
      <c r="A19" s="2" t="s">
        <v>52</v>
      </c>
      <c r="B19" s="3" t="s">
        <v>83</v>
      </c>
      <c r="C19" s="3" t="s">
        <v>84</v>
      </c>
      <c r="D19" s="3" t="s">
        <v>80</v>
      </c>
      <c r="E19" s="3">
        <v>22</v>
      </c>
      <c r="F19" s="2">
        <v>83</v>
      </c>
      <c r="G19" s="4">
        <v>5.7</v>
      </c>
      <c r="H19" s="5">
        <v>4.4000000000000004</v>
      </c>
      <c r="I19" s="5">
        <v>11.5</v>
      </c>
      <c r="J19" s="5">
        <v>7.9</v>
      </c>
      <c r="K19" s="59">
        <v>3.6</v>
      </c>
      <c r="L19" s="17">
        <v>124.3</v>
      </c>
      <c r="M19" s="3">
        <f t="shared" si="2"/>
        <v>53</v>
      </c>
      <c r="N19" s="155">
        <v>95.7</v>
      </c>
      <c r="O19" s="3">
        <f>100-(_xlfn.PERCENTRANK.INC($N$2:$N$151,N19)*100)</f>
        <v>68.5</v>
      </c>
      <c r="P19" s="7">
        <v>26.8</v>
      </c>
      <c r="Q19" s="145">
        <v>58.1</v>
      </c>
      <c r="R19" s="145">
        <v>60.7</v>
      </c>
      <c r="S19" s="146">
        <v>2.1</v>
      </c>
      <c r="T19" s="2">
        <v>10.8</v>
      </c>
      <c r="U19" s="5">
        <v>44.3</v>
      </c>
      <c r="V19" s="2">
        <v>20.3</v>
      </c>
      <c r="W19" s="2">
        <v>0.7</v>
      </c>
      <c r="X19" s="59">
        <v>3.3</v>
      </c>
      <c r="Y19" s="156">
        <v>24.6</v>
      </c>
      <c r="Z19" s="157">
        <v>1.8</v>
      </c>
      <c r="AA19" s="150">
        <v>78.7</v>
      </c>
      <c r="AB19" s="150">
        <v>53.800000000000004</v>
      </c>
      <c r="AC19" s="14">
        <v>7.6</v>
      </c>
      <c r="AD19" s="150">
        <v>43.5</v>
      </c>
      <c r="AE19" s="150">
        <f>(0.3*P19)+(0.25*R19)+(0.2*G19)+(0.15*U19)+(0.1*Y19)</f>
        <v>33.46</v>
      </c>
      <c r="AF19" s="150">
        <f>((U19+G19)-V19)*_xlfn.PERCENTRANK.INC($V$2:$V$151,V19)</f>
        <v>28.898099999999999</v>
      </c>
      <c r="AG19" s="150">
        <f>(0.35*I19)+(0.2*K19)+(0.15*O19)+(0.15+X19)+(0.15+W19)</f>
        <v>19.32</v>
      </c>
      <c r="AH19" s="297">
        <f>(AE19*0.4)+(AF19*0.3)+(AG19*0.3)</f>
        <v>27.849429999999998</v>
      </c>
      <c r="AI19" s="3" t="s">
        <v>345</v>
      </c>
    </row>
    <row r="20" spans="1:35" ht="15" thickBot="1" x14ac:dyDescent="0.35">
      <c r="A20" s="2" t="s">
        <v>34</v>
      </c>
      <c r="B20" s="3" t="s">
        <v>85</v>
      </c>
      <c r="C20" s="3" t="s">
        <v>36</v>
      </c>
      <c r="D20" s="3" t="s">
        <v>37</v>
      </c>
      <c r="E20" s="3">
        <v>23</v>
      </c>
      <c r="F20" s="2">
        <v>68.099999999999994</v>
      </c>
      <c r="G20" s="158">
        <v>4</v>
      </c>
      <c r="H20" s="10">
        <v>4.4000000000000004</v>
      </c>
      <c r="I20" s="5">
        <v>10.3</v>
      </c>
      <c r="J20" s="59">
        <v>4.4000000000000004</v>
      </c>
      <c r="K20" s="10">
        <v>5.8</v>
      </c>
      <c r="L20" s="17">
        <v>124.9</v>
      </c>
      <c r="M20" s="3">
        <f t="shared" si="2"/>
        <v>56.3</v>
      </c>
      <c r="N20" s="18">
        <v>87.8</v>
      </c>
      <c r="O20" s="3">
        <f>100-(_xlfn.PERCENTRANK.INC($N$2:$N$151,N20)*100)</f>
        <v>92</v>
      </c>
      <c r="P20" s="2">
        <v>22.6</v>
      </c>
      <c r="Q20" s="119">
        <v>55.4</v>
      </c>
      <c r="R20" s="145">
        <v>60.8</v>
      </c>
      <c r="S20" s="2">
        <v>3.5</v>
      </c>
      <c r="T20" s="2">
        <v>14.3</v>
      </c>
      <c r="U20" s="5">
        <v>38.1</v>
      </c>
      <c r="V20" s="2">
        <v>19.2</v>
      </c>
      <c r="W20" s="2">
        <v>1.1000000000000001</v>
      </c>
      <c r="X20" s="10">
        <v>3.8</v>
      </c>
      <c r="Y20" s="14">
        <v>47</v>
      </c>
      <c r="Z20" s="159">
        <v>4</v>
      </c>
      <c r="AA20" s="150">
        <v>81</v>
      </c>
      <c r="AB20" s="150">
        <v>48.699999999999996</v>
      </c>
      <c r="AC20" s="14">
        <v>4.8</v>
      </c>
      <c r="AD20" s="150">
        <v>47.099999999999994</v>
      </c>
      <c r="AE20" s="150">
        <f>(0.3*P20)+(0.25*R20)+(0.2*G20)+(0.15*U20)+(0.1*Y20)</f>
        <v>33.195</v>
      </c>
      <c r="AF20" s="150">
        <f>((U20+G20)-V20)*_xlfn.PERCENTRANK.INC($V$2:$V$151,V20)</f>
        <v>21.5031</v>
      </c>
      <c r="AG20" s="150">
        <f>(0.35*I20)+(0.2*K20)+(0.15*O20)+(0.15+X20)+(0.15+W20)</f>
        <v>23.764999999999997</v>
      </c>
      <c r="AH20" s="297">
        <f>(AE20*0.4)+(AF20*0.3)+(AG20*0.3)</f>
        <v>26.858429999999998</v>
      </c>
      <c r="AI20" s="3" t="s">
        <v>345</v>
      </c>
    </row>
    <row r="21" spans="1:35" ht="15" thickBot="1" x14ac:dyDescent="0.35">
      <c r="A21" s="2" t="s">
        <v>52</v>
      </c>
      <c r="B21" s="3" t="s">
        <v>86</v>
      </c>
      <c r="C21" s="3" t="s">
        <v>87</v>
      </c>
      <c r="D21" s="3" t="s">
        <v>88</v>
      </c>
      <c r="E21" s="3">
        <v>21</v>
      </c>
      <c r="F21" s="2">
        <v>78.599999999999994</v>
      </c>
      <c r="G21" s="151">
        <v>4.4000000000000004</v>
      </c>
      <c r="H21" s="160">
        <v>1.3</v>
      </c>
      <c r="I21" s="161">
        <v>3.5</v>
      </c>
      <c r="J21" s="11">
        <v>5.0999999999999996</v>
      </c>
      <c r="K21" s="162">
        <v>-1.7</v>
      </c>
      <c r="L21" s="163">
        <v>109.4</v>
      </c>
      <c r="M21" s="3">
        <f t="shared" si="2"/>
        <v>1.3</v>
      </c>
      <c r="N21" s="164">
        <v>122.3</v>
      </c>
      <c r="O21" s="3">
        <f>100-(_xlfn.PERCENTRANK.INC($N$2:$N$151,N21)*100)</f>
        <v>0.70000000000000284</v>
      </c>
      <c r="P21" s="5">
        <v>36.4</v>
      </c>
      <c r="Q21" s="2">
        <v>49.1</v>
      </c>
      <c r="R21" s="163">
        <v>57</v>
      </c>
      <c r="S21" s="147">
        <v>1.7</v>
      </c>
      <c r="T21" s="165">
        <v>6.6</v>
      </c>
      <c r="U21" s="5">
        <v>50.3</v>
      </c>
      <c r="V21" s="2">
        <v>16.8</v>
      </c>
      <c r="W21" s="13">
        <v>0.5</v>
      </c>
      <c r="X21" s="124">
        <v>2.5</v>
      </c>
      <c r="Y21" s="166">
        <v>49.9</v>
      </c>
      <c r="Z21" s="167">
        <v>2.5</v>
      </c>
      <c r="AA21" s="150">
        <v>85.5</v>
      </c>
      <c r="AB21" s="150">
        <v>48.8</v>
      </c>
      <c r="AC21" s="14">
        <v>8</v>
      </c>
      <c r="AD21" s="150">
        <v>33.300000000000004</v>
      </c>
      <c r="AE21" s="150">
        <f>(0.3*P21)+(0.25*R21)+(0.2*G21)+(0.15*U21)+(0.1*Y21)</f>
        <v>38.585000000000001</v>
      </c>
      <c r="AF21" s="150">
        <f>((U21+G21)-V21)*_xlfn.PERCENTRANK.INC($V$2:$V$151,V21)</f>
        <v>31.002199999999991</v>
      </c>
      <c r="AG21" s="150">
        <f>(0.35*I21)+(0.2*K21)+(0.15*O21)+(0.15+X21)+(0.15+W21)</f>
        <v>4.29</v>
      </c>
      <c r="AH21" s="297">
        <f>(AE21*0.4)+(AF21*0.3)+(AG21*0.3)</f>
        <v>26.021659999999997</v>
      </c>
      <c r="AI21" s="3" t="s">
        <v>345</v>
      </c>
    </row>
    <row r="22" spans="1:35" ht="15" thickBot="1" x14ac:dyDescent="0.35">
      <c r="A22" s="2" t="s">
        <v>48</v>
      </c>
      <c r="B22" s="3" t="s">
        <v>89</v>
      </c>
      <c r="C22" s="3" t="s">
        <v>64</v>
      </c>
      <c r="D22" s="3" t="s">
        <v>62</v>
      </c>
      <c r="E22" s="3">
        <v>22</v>
      </c>
      <c r="F22" s="2">
        <v>81.2</v>
      </c>
      <c r="G22" s="4">
        <v>7.4</v>
      </c>
      <c r="H22" s="5">
        <v>5.7</v>
      </c>
      <c r="I22" s="5">
        <v>18.7</v>
      </c>
      <c r="J22" s="5">
        <v>12.8</v>
      </c>
      <c r="K22" s="10">
        <v>5.8</v>
      </c>
      <c r="L22" s="5">
        <v>134</v>
      </c>
      <c r="M22" s="3">
        <f t="shared" si="2"/>
        <v>85.9</v>
      </c>
      <c r="N22" s="5">
        <v>83.2</v>
      </c>
      <c r="O22" s="3">
        <f>100-(_xlfn.PERCENTRANK.INC($N$2:$N$151,N22)*100)</f>
        <v>98.7</v>
      </c>
      <c r="P22" s="10">
        <v>30.2</v>
      </c>
      <c r="Q22" s="10">
        <v>63.5</v>
      </c>
      <c r="R22" s="10">
        <v>66.5</v>
      </c>
      <c r="S22" s="11">
        <v>12</v>
      </c>
      <c r="T22" s="17">
        <v>22.2</v>
      </c>
      <c r="U22" s="59">
        <v>26.4</v>
      </c>
      <c r="V22" s="168">
        <v>13.1</v>
      </c>
      <c r="W22" s="2">
        <v>2.1</v>
      </c>
      <c r="X22" s="79">
        <v>3.4</v>
      </c>
      <c r="Y22" s="169">
        <v>47.5</v>
      </c>
      <c r="Z22" s="170">
        <v>2.1</v>
      </c>
      <c r="AA22" s="150">
        <v>75.8</v>
      </c>
      <c r="AB22" s="150">
        <v>66.400000000000006</v>
      </c>
      <c r="AC22" s="14">
        <v>7.1</v>
      </c>
      <c r="AD22" s="150">
        <v>37.5</v>
      </c>
      <c r="AE22" s="150">
        <f>(0.3*P22)+(0.25*R22)+(0.2*G22)+(0.15*U22)+(0.1*Y22)</f>
        <v>35.875</v>
      </c>
      <c r="AF22" s="150">
        <f>((U22+G22)-V22)*_xlfn.PERCENTRANK.INC($V$2:$V$151,V22)</f>
        <v>9.5840999999999976</v>
      </c>
      <c r="AG22" s="150">
        <f>(0.35*I22)+(0.2*K22)+(0.15*O22)+(0.15+X22)+(0.15+W22)</f>
        <v>28.31</v>
      </c>
      <c r="AH22" s="297">
        <f>(AE22*0.4)+(AF22*0.3)+(AG22*0.3)</f>
        <v>25.718229999999998</v>
      </c>
      <c r="AI22" s="3" t="s">
        <v>345</v>
      </c>
    </row>
    <row r="23" spans="1:35" ht="15" thickBot="1" x14ac:dyDescent="0.35">
      <c r="A23" s="2" t="s">
        <v>48</v>
      </c>
      <c r="B23" s="3" t="s">
        <v>90</v>
      </c>
      <c r="C23" s="3" t="s">
        <v>91</v>
      </c>
      <c r="D23" s="3" t="s">
        <v>75</v>
      </c>
      <c r="E23" s="3">
        <v>21</v>
      </c>
      <c r="F23" s="2">
        <v>77.3</v>
      </c>
      <c r="G23" s="4">
        <v>5.4</v>
      </c>
      <c r="H23" s="5">
        <v>4.7</v>
      </c>
      <c r="I23" s="5">
        <v>13.1</v>
      </c>
      <c r="J23" s="5">
        <v>7.8</v>
      </c>
      <c r="K23" s="10">
        <v>5.3</v>
      </c>
      <c r="L23" s="10">
        <v>126.3</v>
      </c>
      <c r="M23" s="3">
        <f t="shared" si="2"/>
        <v>61.7</v>
      </c>
      <c r="N23" s="171">
        <v>90.3</v>
      </c>
      <c r="O23" s="3">
        <f>100-(_xlfn.PERCENTRANK.INC($N$2:$N$151,N23)*100)</f>
        <v>86.6</v>
      </c>
      <c r="P23" s="7">
        <v>26.8</v>
      </c>
      <c r="Q23" s="61">
        <v>56.6</v>
      </c>
      <c r="R23" s="20">
        <v>60.5</v>
      </c>
      <c r="S23" s="147">
        <v>1.7</v>
      </c>
      <c r="T23" s="2">
        <v>11.2</v>
      </c>
      <c r="U23" s="5">
        <v>34.799999999999997</v>
      </c>
      <c r="V23" s="172">
        <v>14.4</v>
      </c>
      <c r="W23" s="2">
        <v>1.5</v>
      </c>
      <c r="X23" s="17">
        <v>3.6</v>
      </c>
      <c r="Y23" s="14">
        <v>31.1</v>
      </c>
      <c r="Z23" s="173">
        <v>2.2999999999999998</v>
      </c>
      <c r="AA23" s="150">
        <v>82.5</v>
      </c>
      <c r="AB23" s="150">
        <v>55.900000000000006</v>
      </c>
      <c r="AC23" s="14">
        <v>6.5</v>
      </c>
      <c r="AD23" s="150">
        <v>39.1</v>
      </c>
      <c r="AE23" s="150">
        <f>(0.3*P23)+(0.25*R23)+(0.2*G23)+(0.15*U23)+(0.1*Y23)</f>
        <v>32.574999999999996</v>
      </c>
      <c r="AF23" s="150">
        <f>((U23+G23)-V23)*_xlfn.PERCENTRANK.INC($V$2:$V$151,V23)</f>
        <v>15.402599999999998</v>
      </c>
      <c r="AG23" s="150">
        <f>(0.35*I23)+(0.2*K23)+(0.15*O23)+(0.15+X23)+(0.15+W23)</f>
        <v>24.034999999999997</v>
      </c>
      <c r="AH23" s="297">
        <f>(AE23*0.4)+(AF23*0.3)+(AG23*0.3)</f>
        <v>24.861279999999997</v>
      </c>
      <c r="AI23" s="3" t="s">
        <v>345</v>
      </c>
    </row>
    <row r="24" spans="1:35" ht="15" thickBot="1" x14ac:dyDescent="0.35">
      <c r="A24" s="2" t="s">
        <v>52</v>
      </c>
      <c r="B24" s="3" t="s">
        <v>92</v>
      </c>
      <c r="C24" s="3" t="s">
        <v>93</v>
      </c>
      <c r="D24" s="3" t="s">
        <v>75</v>
      </c>
      <c r="E24" s="3">
        <v>22</v>
      </c>
      <c r="F24" s="2">
        <v>78.2</v>
      </c>
      <c r="G24" s="58">
        <v>4.9000000000000004</v>
      </c>
      <c r="H24" s="5">
        <v>5.0999999999999996</v>
      </c>
      <c r="I24" s="5">
        <v>11.8</v>
      </c>
      <c r="J24" s="10">
        <v>6.6</v>
      </c>
      <c r="K24" s="10">
        <v>5.2</v>
      </c>
      <c r="L24" s="79">
        <v>120.7</v>
      </c>
      <c r="M24" s="3">
        <f t="shared" si="2"/>
        <v>31.5</v>
      </c>
      <c r="N24" s="18">
        <v>87.6</v>
      </c>
      <c r="O24" s="3">
        <f>100-(_xlfn.PERCENTRANK.INC($N$2:$N$151,N24)*100)</f>
        <v>93.3</v>
      </c>
      <c r="P24" s="79">
        <v>28.3</v>
      </c>
      <c r="Q24" s="174">
        <v>54.7</v>
      </c>
      <c r="R24" s="161">
        <v>59.1</v>
      </c>
      <c r="S24" s="81">
        <v>7.7</v>
      </c>
      <c r="T24" s="11">
        <v>21.6</v>
      </c>
      <c r="U24" s="79">
        <v>27.6</v>
      </c>
      <c r="V24" s="2">
        <v>17.399999999999999</v>
      </c>
      <c r="W24" s="124">
        <v>3.4</v>
      </c>
      <c r="X24" s="72">
        <v>2.8</v>
      </c>
      <c r="Y24" s="139">
        <v>55.9</v>
      </c>
      <c r="Z24" s="14">
        <v>2.9</v>
      </c>
      <c r="AA24" s="150">
        <v>71.8</v>
      </c>
      <c r="AB24" s="150">
        <v>52.6</v>
      </c>
      <c r="AC24" s="14">
        <v>5.3</v>
      </c>
      <c r="AD24" s="150">
        <v>40.6</v>
      </c>
      <c r="AE24" s="150">
        <f>(0.3*P24)+(0.25*R24)+(0.2*G24)+(0.15*U24)+(0.1*Y24)</f>
        <v>33.975000000000001</v>
      </c>
      <c r="AF24" s="150">
        <f>((U24+G24)-V24)*_xlfn.PERCENTRANK.INC($V$2:$V$151,V24)</f>
        <v>12.759500000000001</v>
      </c>
      <c r="AG24" s="150">
        <f>(0.35*I24)+(0.2*K24)+(0.15*O24)+(0.15+X24)+(0.15+W24)</f>
        <v>25.664999999999999</v>
      </c>
      <c r="AH24" s="297">
        <f>(AE24*0.4)+(AF24*0.3)+(AG24*0.3)</f>
        <v>25.117350000000002</v>
      </c>
      <c r="AI24" s="3" t="s">
        <v>345</v>
      </c>
    </row>
    <row r="25" spans="1:35" ht="15" thickBot="1" x14ac:dyDescent="0.35">
      <c r="A25" s="2" t="s">
        <v>41</v>
      </c>
      <c r="B25" s="3" t="s">
        <v>94</v>
      </c>
      <c r="C25" s="3" t="s">
        <v>95</v>
      </c>
      <c r="D25" s="3" t="s">
        <v>75</v>
      </c>
      <c r="E25" s="3">
        <v>21</v>
      </c>
      <c r="F25" s="2">
        <v>92</v>
      </c>
      <c r="G25" s="4">
        <v>6.4</v>
      </c>
      <c r="H25" s="5">
        <v>4.5999999999999996</v>
      </c>
      <c r="I25" s="10">
        <v>9.4</v>
      </c>
      <c r="J25" s="5">
        <v>7.3</v>
      </c>
      <c r="K25" s="119">
        <v>2</v>
      </c>
      <c r="L25" s="10">
        <v>127.4</v>
      </c>
      <c r="M25" s="3">
        <f t="shared" si="2"/>
        <v>68.400000000000006</v>
      </c>
      <c r="N25" s="2">
        <v>100</v>
      </c>
      <c r="O25" s="3">
        <f>100-(_xlfn.PERCENTRANK.INC($N$2:$N$151,N25)*100)</f>
        <v>53.1</v>
      </c>
      <c r="P25" s="175">
        <v>24.6</v>
      </c>
      <c r="Q25" s="11">
        <v>61.3</v>
      </c>
      <c r="R25" s="11">
        <v>64.099999999999994</v>
      </c>
      <c r="S25" s="176">
        <v>2</v>
      </c>
      <c r="T25" s="147">
        <v>7.7</v>
      </c>
      <c r="U25" s="5">
        <v>34.200000000000003</v>
      </c>
      <c r="V25" s="2">
        <v>18.5</v>
      </c>
      <c r="W25" s="2">
        <v>0.6</v>
      </c>
      <c r="X25" s="2">
        <v>2.1</v>
      </c>
      <c r="Y25" s="14">
        <v>31.9</v>
      </c>
      <c r="Z25" s="177">
        <v>1.9</v>
      </c>
      <c r="AA25" s="150">
        <v>78.7</v>
      </c>
      <c r="AB25" s="150">
        <v>55.300000000000004</v>
      </c>
      <c r="AC25" s="153">
        <v>11.7</v>
      </c>
      <c r="AD25" s="150">
        <v>43.6</v>
      </c>
      <c r="AE25" s="150">
        <f>(0.3*P25)+(0.25*R25)+(0.2*G25)+(0.15*U25)+(0.1*Y25)</f>
        <v>33.004999999999995</v>
      </c>
      <c r="AF25" s="150">
        <f>((U25+G25)-V25)*_xlfn.PERCENTRANK.INC($V$2:$V$151,V25)</f>
        <v>20.022600000000001</v>
      </c>
      <c r="AG25" s="150">
        <f>(0.35*I25)+(0.2*K25)+(0.15*O25)+(0.15+X25)+(0.15+W25)</f>
        <v>14.654999999999999</v>
      </c>
      <c r="AH25" s="297">
        <f>(AE25*0.4)+(AF25*0.3)+(AG25*0.3)</f>
        <v>23.605279999999997</v>
      </c>
      <c r="AI25" s="3" t="s">
        <v>345</v>
      </c>
    </row>
    <row r="26" spans="1:35" ht="15" thickBot="1" x14ac:dyDescent="0.35">
      <c r="A26" s="2" t="s">
        <v>52</v>
      </c>
      <c r="B26" s="3" t="s">
        <v>96</v>
      </c>
      <c r="C26" s="3" t="s">
        <v>97</v>
      </c>
      <c r="D26" s="3" t="s">
        <v>37</v>
      </c>
      <c r="E26" s="3">
        <v>22</v>
      </c>
      <c r="F26" s="2">
        <v>73.3</v>
      </c>
      <c r="G26" s="69">
        <v>4.3</v>
      </c>
      <c r="H26" s="10">
        <v>4.0999999999999996</v>
      </c>
      <c r="I26" s="5">
        <v>11.1</v>
      </c>
      <c r="J26" s="10">
        <v>6.8</v>
      </c>
      <c r="K26" s="11">
        <v>4.3</v>
      </c>
      <c r="L26" s="59">
        <v>120</v>
      </c>
      <c r="M26" s="3">
        <f t="shared" si="2"/>
        <v>27.500000000000004</v>
      </c>
      <c r="N26" s="178">
        <v>93.3</v>
      </c>
      <c r="O26" s="3">
        <f>100-(_xlfn.PERCENTRANK.INC($N$2:$N$151,N26)*100)</f>
        <v>78.599999999999994</v>
      </c>
      <c r="P26" s="6">
        <v>26.5</v>
      </c>
      <c r="Q26" s="179">
        <v>55.1</v>
      </c>
      <c r="R26" s="180">
        <v>60.1</v>
      </c>
      <c r="S26" s="10">
        <v>13.9</v>
      </c>
      <c r="T26" s="2">
        <v>14</v>
      </c>
      <c r="U26" s="19">
        <v>20.5</v>
      </c>
      <c r="V26" s="2">
        <v>17.2</v>
      </c>
      <c r="W26" s="10">
        <v>6.8</v>
      </c>
      <c r="X26" s="2">
        <v>2.2000000000000002</v>
      </c>
      <c r="Y26" s="132">
        <v>81.2</v>
      </c>
      <c r="Z26" s="181">
        <v>3.7</v>
      </c>
      <c r="AA26" s="150">
        <v>69.599999999999994</v>
      </c>
      <c r="AB26" s="150">
        <v>56.599999999999994</v>
      </c>
      <c r="AC26" s="182">
        <v>2.7</v>
      </c>
      <c r="AD26" s="150">
        <v>31.3</v>
      </c>
      <c r="AE26" s="150">
        <f>(0.3*P26)+(0.25*R26)+(0.2*G26)+(0.15*U26)+(0.1*Y26)</f>
        <v>35.03</v>
      </c>
      <c r="AF26" s="150">
        <f>((U26+G26)-V26)*_xlfn.PERCENTRANK.INC($V$2:$V$151,V26)</f>
        <v>6.3232000000000008</v>
      </c>
      <c r="AG26" s="150">
        <f>(0.35*I26)+(0.2*K26)+(0.15*O26)+(0.15+X26)+(0.15+W26)</f>
        <v>25.835000000000001</v>
      </c>
      <c r="AH26" s="297">
        <f>(AE26*0.4)+(AF26*0.3)+(AG26*0.3)</f>
        <v>23.659459999999999</v>
      </c>
      <c r="AI26" s="3" t="s">
        <v>345</v>
      </c>
    </row>
    <row r="27" spans="1:35" ht="15" thickBot="1" x14ac:dyDescent="0.35">
      <c r="A27" s="2" t="s">
        <v>41</v>
      </c>
      <c r="B27" s="3" t="s">
        <v>98</v>
      </c>
      <c r="C27" s="3" t="s">
        <v>99</v>
      </c>
      <c r="D27" s="3" t="s">
        <v>51</v>
      </c>
      <c r="E27" s="3">
        <v>20</v>
      </c>
      <c r="F27" s="2">
        <v>70.099999999999994</v>
      </c>
      <c r="G27" s="4">
        <v>5.4</v>
      </c>
      <c r="H27" s="80">
        <v>3.3</v>
      </c>
      <c r="I27" s="10">
        <v>9.6</v>
      </c>
      <c r="J27" s="5">
        <v>8.3000000000000007</v>
      </c>
      <c r="K27" s="70">
        <v>1.4</v>
      </c>
      <c r="L27" s="59">
        <v>119.7</v>
      </c>
      <c r="M27" s="3">
        <f t="shared" si="2"/>
        <v>25.5</v>
      </c>
      <c r="N27" s="2">
        <v>102.2</v>
      </c>
      <c r="O27" s="3">
        <f>100-(_xlfn.PERCENTRANK.INC($N$2:$N$151,N27)*100)</f>
        <v>43.7</v>
      </c>
      <c r="P27" s="10">
        <v>31.2</v>
      </c>
      <c r="Q27" s="6">
        <v>58.4</v>
      </c>
      <c r="R27" s="7">
        <v>61.7</v>
      </c>
      <c r="S27" s="183">
        <v>1.6</v>
      </c>
      <c r="T27" s="184">
        <v>9.3000000000000007</v>
      </c>
      <c r="U27" s="10">
        <v>33.5</v>
      </c>
      <c r="V27" s="2">
        <v>16.399999999999999</v>
      </c>
      <c r="W27" s="2">
        <v>0.6</v>
      </c>
      <c r="X27" s="2">
        <v>2.2999999999999998</v>
      </c>
      <c r="Y27" s="14">
        <v>38.5</v>
      </c>
      <c r="Z27" s="185">
        <v>2.6</v>
      </c>
      <c r="AA27" s="150">
        <v>75.400000000000006</v>
      </c>
      <c r="AB27" s="150">
        <v>59.099999999999994</v>
      </c>
      <c r="AC27" s="139">
        <v>10.3</v>
      </c>
      <c r="AD27" s="150">
        <v>38.299999999999997</v>
      </c>
      <c r="AE27" s="150">
        <f>(0.3*P27)+(0.25*R27)+(0.2*G27)+(0.15*U27)+(0.1*Y27)</f>
        <v>34.74</v>
      </c>
      <c r="AF27" s="150">
        <f>((U27+G27)-V27)*_xlfn.PERCENTRANK.INC($V$2:$V$151,V27)</f>
        <v>17.212499999999999</v>
      </c>
      <c r="AG27" s="150">
        <f>(0.35*I27)+(0.2*K27)+(0.15*O27)+(0.15+X27)+(0.15+W27)</f>
        <v>13.395</v>
      </c>
      <c r="AH27" s="297">
        <f>(AE27*0.4)+(AF27*0.3)+(AG27*0.3)</f>
        <v>23.078250000000001</v>
      </c>
      <c r="AI27" s="3" t="s">
        <v>345</v>
      </c>
    </row>
    <row r="28" spans="1:35" ht="15" thickBot="1" x14ac:dyDescent="0.35">
      <c r="A28" s="2" t="s">
        <v>52</v>
      </c>
      <c r="B28" s="3" t="s">
        <v>100</v>
      </c>
      <c r="C28" s="3" t="s">
        <v>101</v>
      </c>
      <c r="D28" s="3" t="s">
        <v>51</v>
      </c>
      <c r="E28" s="3">
        <v>18</v>
      </c>
      <c r="F28" s="2">
        <v>59</v>
      </c>
      <c r="G28" s="69">
        <v>4.3</v>
      </c>
      <c r="H28" s="10">
        <v>4.3</v>
      </c>
      <c r="I28" s="5">
        <v>10.3</v>
      </c>
      <c r="J28" s="79">
        <v>4.8</v>
      </c>
      <c r="K28" s="10">
        <v>5.5</v>
      </c>
      <c r="L28" s="17">
        <v>123.5</v>
      </c>
      <c r="M28" s="3">
        <f t="shared" si="2"/>
        <v>45.6</v>
      </c>
      <c r="N28" s="9">
        <v>91.2</v>
      </c>
      <c r="O28" s="3">
        <f>100-(_xlfn.PERCENTRANK.INC($N$2:$N$151,N28)*100)</f>
        <v>85.3</v>
      </c>
      <c r="P28" s="80">
        <v>25.6</v>
      </c>
      <c r="Q28" s="2">
        <v>52.6</v>
      </c>
      <c r="R28" s="145">
        <v>60.9</v>
      </c>
      <c r="S28" s="186">
        <v>1.1000000000000001</v>
      </c>
      <c r="T28" s="2">
        <v>10.3</v>
      </c>
      <c r="U28" s="6">
        <v>25</v>
      </c>
      <c r="V28" s="168">
        <v>13.2</v>
      </c>
      <c r="W28" s="2">
        <v>1.3</v>
      </c>
      <c r="X28" s="5">
        <v>5.3</v>
      </c>
      <c r="Y28" s="187">
        <v>54.4</v>
      </c>
      <c r="Z28" s="188">
        <v>4.0999999999999996</v>
      </c>
      <c r="AA28" s="150">
        <v>88.7</v>
      </c>
      <c r="AB28" s="150">
        <v>53.6</v>
      </c>
      <c r="AC28" s="16">
        <v>9</v>
      </c>
      <c r="AD28" s="150">
        <v>34.1</v>
      </c>
      <c r="AE28" s="150">
        <f>(0.3*P28)+(0.25*R28)+(0.2*G28)+(0.15*U28)+(0.1*Y28)</f>
        <v>32.954999999999998</v>
      </c>
      <c r="AF28" s="150">
        <f>((U28+G28)-V28)*_xlfn.PERCENTRANK.INC($V$2:$V$151,V28)</f>
        <v>7.6636000000000006</v>
      </c>
      <c r="AG28" s="150">
        <f>(0.35*I28)+(0.2*K28)+(0.15*O28)+(0.15+X28)+(0.15+W28)</f>
        <v>24.4</v>
      </c>
      <c r="AH28" s="297">
        <f>(AE28*0.4)+(AF28*0.3)+(AG28*0.3)</f>
        <v>22.801079999999999</v>
      </c>
      <c r="AI28" s="3" t="s">
        <v>345</v>
      </c>
    </row>
    <row r="29" spans="1:35" ht="15" thickBot="1" x14ac:dyDescent="0.35">
      <c r="A29" s="2" t="s">
        <v>48</v>
      </c>
      <c r="B29" s="3" t="s">
        <v>102</v>
      </c>
      <c r="C29" s="3" t="s">
        <v>103</v>
      </c>
      <c r="D29" s="3" t="s">
        <v>62</v>
      </c>
      <c r="E29" s="3">
        <v>22</v>
      </c>
      <c r="F29" s="2">
        <v>77.900000000000006</v>
      </c>
      <c r="G29" s="4">
        <v>5.5</v>
      </c>
      <c r="H29" s="5">
        <v>4.7</v>
      </c>
      <c r="I29" s="5">
        <v>12.8</v>
      </c>
      <c r="J29" s="5">
        <v>8.5</v>
      </c>
      <c r="K29" s="11">
        <v>4.3</v>
      </c>
      <c r="L29" s="17">
        <v>124.3</v>
      </c>
      <c r="M29" s="3">
        <f t="shared" si="2"/>
        <v>53</v>
      </c>
      <c r="N29" s="189">
        <v>91.1</v>
      </c>
      <c r="O29" s="3">
        <f>100-(_xlfn.PERCENTRANK.INC($N$2:$N$151,N29)*100)</f>
        <v>86</v>
      </c>
      <c r="P29" s="11">
        <v>28.9</v>
      </c>
      <c r="Q29" s="63">
        <v>59.2</v>
      </c>
      <c r="R29" s="59">
        <v>62.6</v>
      </c>
      <c r="S29" s="59">
        <v>11.4</v>
      </c>
      <c r="T29" s="17">
        <v>22.1</v>
      </c>
      <c r="U29" s="60">
        <v>18.399999999999999</v>
      </c>
      <c r="V29" s="168">
        <v>13</v>
      </c>
      <c r="W29" s="72">
        <v>4.2</v>
      </c>
      <c r="X29" s="72">
        <v>2.8</v>
      </c>
      <c r="Y29" s="190">
        <v>62.1</v>
      </c>
      <c r="Z29" s="185">
        <v>2.6</v>
      </c>
      <c r="AA29" s="150">
        <v>70.399999999999991</v>
      </c>
      <c r="AB29" s="150">
        <v>61.3</v>
      </c>
      <c r="AC29" s="191">
        <v>2</v>
      </c>
      <c r="AD29" s="150">
        <v>25</v>
      </c>
      <c r="AE29" s="150">
        <f>(0.3*P29)+(0.25*R29)+(0.2*G29)+(0.15*U29)+(0.1*Y29)</f>
        <v>34.39</v>
      </c>
      <c r="AF29" s="150">
        <f>((U29+G29)-V29)*_xlfn.PERCENTRANK.INC($V$2:$V$151,V29)</f>
        <v>4.7523999999999997</v>
      </c>
      <c r="AG29" s="150">
        <f>(0.35*I29)+(0.2*K29)+(0.15*O29)+(0.15+X29)+(0.15+W29)</f>
        <v>25.540000000000003</v>
      </c>
      <c r="AH29" s="297">
        <f>(AE29*0.4)+(AF29*0.3)+(AG29*0.3)</f>
        <v>22.843720000000001</v>
      </c>
      <c r="AI29" s="3" t="s">
        <v>345</v>
      </c>
    </row>
    <row r="30" spans="1:35" ht="15" thickBot="1" x14ac:dyDescent="0.35">
      <c r="A30" s="2" t="s">
        <v>41</v>
      </c>
      <c r="B30" s="3" t="s">
        <v>104</v>
      </c>
      <c r="C30" s="3" t="s">
        <v>101</v>
      </c>
      <c r="D30" s="3" t="s">
        <v>51</v>
      </c>
      <c r="E30" s="3">
        <v>22</v>
      </c>
      <c r="F30" s="2">
        <v>77.8</v>
      </c>
      <c r="G30" s="58">
        <v>4.7</v>
      </c>
      <c r="H30" s="10">
        <v>4.3</v>
      </c>
      <c r="I30" s="5">
        <v>11</v>
      </c>
      <c r="J30" s="10">
        <v>6.2</v>
      </c>
      <c r="K30" s="17">
        <v>4.8</v>
      </c>
      <c r="L30" s="17">
        <v>124.3</v>
      </c>
      <c r="M30" s="3">
        <f t="shared" si="2"/>
        <v>53</v>
      </c>
      <c r="N30" s="192">
        <v>93.9</v>
      </c>
      <c r="O30" s="3">
        <f>100-(_xlfn.PERCENTRANK.INC($N$2:$N$151,N30)*100)</f>
        <v>76.599999999999994</v>
      </c>
      <c r="P30" s="80">
        <v>25.5</v>
      </c>
      <c r="Q30" s="161">
        <v>56.1</v>
      </c>
      <c r="R30" s="6">
        <v>61.3</v>
      </c>
      <c r="S30" s="193">
        <v>1.2</v>
      </c>
      <c r="T30" s="2">
        <v>11.3</v>
      </c>
      <c r="U30" s="17">
        <v>29.1</v>
      </c>
      <c r="V30" s="62">
        <v>13.5</v>
      </c>
      <c r="W30" s="2">
        <v>1.7</v>
      </c>
      <c r="X30" s="5">
        <v>4.2</v>
      </c>
      <c r="Y30" s="14">
        <v>37.299999999999997</v>
      </c>
      <c r="Z30" s="14">
        <v>2.7</v>
      </c>
      <c r="AA30" s="150">
        <v>86.1</v>
      </c>
      <c r="AB30" s="150">
        <v>55.600000000000009</v>
      </c>
      <c r="AC30" s="14">
        <v>8</v>
      </c>
      <c r="AD30" s="150">
        <v>38</v>
      </c>
      <c r="AE30" s="150">
        <f>(0.3*P30)+(0.25*R30)+(0.2*G30)+(0.15*U30)+(0.1*Y30)</f>
        <v>32.01</v>
      </c>
      <c r="AF30" s="150">
        <f>((U30+G30)-V30)*_xlfn.PERCENTRANK.INC($V$2:$V$151,V30)</f>
        <v>10.068800000000001</v>
      </c>
      <c r="AG30" s="150">
        <f>(0.35*I30)+(0.2*K30)+(0.15*O30)+(0.15+X30)+(0.15+W30)</f>
        <v>22.5</v>
      </c>
      <c r="AH30" s="297">
        <f>(AE30*0.4)+(AF30*0.3)+(AG30*0.3)</f>
        <v>22.574640000000002</v>
      </c>
      <c r="AI30" s="3" t="s">
        <v>345</v>
      </c>
    </row>
    <row r="31" spans="1:35" ht="15" thickBot="1" x14ac:dyDescent="0.35">
      <c r="A31" s="2" t="s">
        <v>52</v>
      </c>
      <c r="B31" s="3" t="s">
        <v>105</v>
      </c>
      <c r="C31" s="3" t="s">
        <v>106</v>
      </c>
      <c r="D31" s="3" t="s">
        <v>62</v>
      </c>
      <c r="E31" s="3">
        <v>21</v>
      </c>
      <c r="F31" s="2">
        <v>82.1</v>
      </c>
      <c r="G31" s="4">
        <v>5.6</v>
      </c>
      <c r="H31" s="79">
        <v>3.7</v>
      </c>
      <c r="I31" s="17">
        <v>7.8</v>
      </c>
      <c r="J31" s="10">
        <v>6.3</v>
      </c>
      <c r="K31" s="163">
        <v>1.5</v>
      </c>
      <c r="L31" s="17">
        <v>124.4</v>
      </c>
      <c r="M31" s="3">
        <f t="shared" si="2"/>
        <v>55.000000000000007</v>
      </c>
      <c r="N31" s="2">
        <v>102.8</v>
      </c>
      <c r="O31" s="3">
        <f>100-(_xlfn.PERCENTRANK.INC($N$2:$N$151,N31)*100)</f>
        <v>42.300000000000004</v>
      </c>
      <c r="P31" s="145">
        <v>26.2</v>
      </c>
      <c r="Q31" s="60">
        <v>53.3</v>
      </c>
      <c r="R31" s="6">
        <v>61.2</v>
      </c>
      <c r="S31" s="194">
        <v>2.2000000000000002</v>
      </c>
      <c r="T31" s="162">
        <v>9.1</v>
      </c>
      <c r="U31" s="10">
        <v>31.6</v>
      </c>
      <c r="V31" s="2">
        <v>16.5</v>
      </c>
      <c r="W31" s="162">
        <v>0.3</v>
      </c>
      <c r="X31" s="175">
        <v>2.7</v>
      </c>
      <c r="Y31" s="139">
        <v>55.4</v>
      </c>
      <c r="Z31" s="185">
        <v>2.6</v>
      </c>
      <c r="AA31" s="150">
        <v>86.8</v>
      </c>
      <c r="AB31" s="150">
        <v>50.9</v>
      </c>
      <c r="AC31" s="14">
        <v>7.4</v>
      </c>
      <c r="AD31" s="150">
        <v>38.1</v>
      </c>
      <c r="AE31" s="150">
        <f>(0.3*P31)+(0.25*R31)+(0.2*G31)+(0.15*U31)+(0.1*Y31)</f>
        <v>34.56</v>
      </c>
      <c r="AF31" s="150">
        <f>((U31+G31)-V31)*_xlfn.PERCENTRANK.INC($V$2:$V$151,V31)</f>
        <v>16.104600000000001</v>
      </c>
      <c r="AG31" s="150">
        <f>(0.35*I31)+(0.2*K31)+(0.15*O31)+(0.15+X31)+(0.15+W31)</f>
        <v>12.674999999999999</v>
      </c>
      <c r="AH31" s="297">
        <f>(AE31*0.4)+(AF31*0.3)+(AG31*0.3)</f>
        <v>22.457879999999999</v>
      </c>
      <c r="AI31" s="3" t="s">
        <v>345</v>
      </c>
    </row>
    <row r="32" spans="1:35" ht="15" thickBot="1" x14ac:dyDescent="0.35">
      <c r="A32" s="2" t="s">
        <v>52</v>
      </c>
      <c r="B32" s="3" t="s">
        <v>107</v>
      </c>
      <c r="C32" s="3" t="s">
        <v>108</v>
      </c>
      <c r="D32" s="3" t="s">
        <v>109</v>
      </c>
      <c r="E32" s="3">
        <v>20</v>
      </c>
      <c r="F32" s="2">
        <v>87.9</v>
      </c>
      <c r="G32" s="158">
        <v>3.9</v>
      </c>
      <c r="H32" s="10">
        <v>4.0999999999999996</v>
      </c>
      <c r="I32" s="79">
        <v>6.8</v>
      </c>
      <c r="J32" s="6">
        <v>3.7</v>
      </c>
      <c r="K32" s="6">
        <v>3.1</v>
      </c>
      <c r="L32" s="80">
        <v>114.6</v>
      </c>
      <c r="M32" s="3">
        <f t="shared" si="2"/>
        <v>7.3</v>
      </c>
      <c r="N32" s="2">
        <v>100.7</v>
      </c>
      <c r="O32" s="3">
        <f>100-(_xlfn.PERCENTRANK.INC($N$2:$N$151,N32)*100)</f>
        <v>50.4</v>
      </c>
      <c r="P32" s="11">
        <v>28.9</v>
      </c>
      <c r="Q32" s="2">
        <v>52.6</v>
      </c>
      <c r="R32" s="119">
        <v>58.3</v>
      </c>
      <c r="S32" s="2">
        <v>4.8</v>
      </c>
      <c r="T32" s="2">
        <v>10.3</v>
      </c>
      <c r="U32" s="11">
        <v>28.8</v>
      </c>
      <c r="V32" s="2">
        <v>16.600000000000001</v>
      </c>
      <c r="W32" s="2">
        <v>1.1000000000000001</v>
      </c>
      <c r="X32" s="5">
        <v>4.5</v>
      </c>
      <c r="Y32" s="195">
        <v>51.8</v>
      </c>
      <c r="Z32" s="14">
        <v>3.2</v>
      </c>
      <c r="AA32" s="150">
        <v>77.5</v>
      </c>
      <c r="AB32" s="150">
        <v>52.6</v>
      </c>
      <c r="AC32" s="14">
        <v>3.7</v>
      </c>
      <c r="AD32" s="150">
        <v>34.799999999999997</v>
      </c>
      <c r="AE32" s="150">
        <f>(0.3*P32)+(0.25*R32)+(0.2*G32)+(0.15*U32)+(0.1*Y32)</f>
        <v>33.524999999999999</v>
      </c>
      <c r="AF32" s="150">
        <f>((U32+G32)-V32)*_xlfn.PERCENTRANK.INC($V$2:$V$151,V32)</f>
        <v>12.638500000000002</v>
      </c>
      <c r="AG32" s="150">
        <f>(0.35*I32)+(0.2*K32)+(0.15*O32)+(0.15+X32)+(0.15+W32)</f>
        <v>16.46</v>
      </c>
      <c r="AH32" s="297">
        <f>(AE32*0.4)+(AF32*0.3)+(AG32*0.3)</f>
        <v>22.13955</v>
      </c>
      <c r="AI32" s="3" t="s">
        <v>345</v>
      </c>
    </row>
    <row r="33" spans="1:35" ht="15" thickBot="1" x14ac:dyDescent="0.35">
      <c r="A33" s="2" t="s">
        <v>52</v>
      </c>
      <c r="B33" s="3" t="s">
        <v>110</v>
      </c>
      <c r="C33" s="3" t="s">
        <v>111</v>
      </c>
      <c r="D33" s="3" t="s">
        <v>51</v>
      </c>
      <c r="E33" s="3">
        <v>22</v>
      </c>
      <c r="F33" s="2">
        <v>82.4</v>
      </c>
      <c r="G33" s="58">
        <v>4.8</v>
      </c>
      <c r="H33" s="5">
        <v>4.4000000000000004</v>
      </c>
      <c r="I33" s="10">
        <v>8.8000000000000007</v>
      </c>
      <c r="J33" s="10">
        <v>6</v>
      </c>
      <c r="K33" s="180">
        <v>2.8</v>
      </c>
      <c r="L33" s="11">
        <v>121.9</v>
      </c>
      <c r="M33" s="3">
        <f t="shared" si="2"/>
        <v>39.5</v>
      </c>
      <c r="N33" s="196">
        <v>95.4</v>
      </c>
      <c r="O33" s="3">
        <f>100-(_xlfn.PERCENTRANK.INC($N$2:$N$151,N33)*100)</f>
        <v>69.8</v>
      </c>
      <c r="P33" s="20">
        <v>26</v>
      </c>
      <c r="Q33" s="2">
        <v>51.9</v>
      </c>
      <c r="R33" s="2">
        <v>56.1</v>
      </c>
      <c r="S33" s="183">
        <v>1.6</v>
      </c>
      <c r="T33" s="147">
        <v>7.7</v>
      </c>
      <c r="U33" s="17">
        <v>30.7</v>
      </c>
      <c r="V33" s="2">
        <v>16.7</v>
      </c>
      <c r="W33" s="2">
        <v>0.9</v>
      </c>
      <c r="X33" s="80">
        <v>2.9</v>
      </c>
      <c r="Y33" s="14">
        <v>30.4</v>
      </c>
      <c r="Z33" s="14">
        <v>3.1</v>
      </c>
      <c r="AA33" s="150">
        <v>81.399999999999991</v>
      </c>
      <c r="AB33" s="150">
        <v>49.7</v>
      </c>
      <c r="AC33" s="197">
        <v>13.9</v>
      </c>
      <c r="AD33" s="150">
        <v>35.799999999999997</v>
      </c>
      <c r="AE33" s="150">
        <f>(0.3*P33)+(0.25*R33)+(0.2*G33)+(0.15*U33)+(0.1*Y33)</f>
        <v>30.43</v>
      </c>
      <c r="AF33" s="150">
        <f>((U33+G33)-V33)*_xlfn.PERCENTRANK.INC($V$2:$V$151,V33)</f>
        <v>15.002400000000002</v>
      </c>
      <c r="AG33" s="150">
        <f>(0.35*I33)+(0.2*K33)+(0.15*O33)+(0.15+X33)+(0.15+W33)</f>
        <v>18.21</v>
      </c>
      <c r="AH33" s="297">
        <f>(AE33*0.4)+(AF33*0.3)+(AG33*0.3)</f>
        <v>22.135720000000003</v>
      </c>
      <c r="AI33" s="3" t="s">
        <v>345</v>
      </c>
    </row>
    <row r="34" spans="1:35" ht="15" thickBot="1" x14ac:dyDescent="0.35">
      <c r="A34" s="2" t="s">
        <v>52</v>
      </c>
      <c r="B34" s="3" t="s">
        <v>112</v>
      </c>
      <c r="C34" s="3" t="s">
        <v>113</v>
      </c>
      <c r="D34" s="3" t="s">
        <v>114</v>
      </c>
      <c r="E34" s="3">
        <v>20</v>
      </c>
      <c r="F34" s="2">
        <v>62.5</v>
      </c>
      <c r="G34" s="198">
        <v>4.0999999999999996</v>
      </c>
      <c r="H34" s="59">
        <v>3.7</v>
      </c>
      <c r="I34" s="5">
        <v>10.7</v>
      </c>
      <c r="J34" s="10">
        <v>7</v>
      </c>
      <c r="K34" s="59">
        <v>3.7</v>
      </c>
      <c r="L34" s="10">
        <v>127.3</v>
      </c>
      <c r="M34" s="3">
        <f t="shared" si="2"/>
        <v>67.100000000000009</v>
      </c>
      <c r="N34" s="192">
        <v>94</v>
      </c>
      <c r="O34" s="3">
        <f>100-(_xlfn.PERCENTRANK.INC($N$2:$N$151,N34)*100)</f>
        <v>75.900000000000006</v>
      </c>
      <c r="P34" s="61">
        <v>25.3</v>
      </c>
      <c r="Q34" s="10">
        <v>64.099999999999994</v>
      </c>
      <c r="R34" s="10">
        <v>65.5</v>
      </c>
      <c r="S34" s="79">
        <v>11.7</v>
      </c>
      <c r="T34" s="5">
        <v>26.9</v>
      </c>
      <c r="U34" s="2">
        <v>12.6</v>
      </c>
      <c r="V34" s="168">
        <v>13</v>
      </c>
      <c r="W34" s="10">
        <v>7</v>
      </c>
      <c r="X34" s="10">
        <v>4</v>
      </c>
      <c r="Y34" s="22">
        <v>73.5</v>
      </c>
      <c r="Z34" s="14">
        <v>2.7</v>
      </c>
      <c r="AA34" s="150">
        <v>66.2</v>
      </c>
      <c r="AB34" s="150">
        <v>64.099999999999994</v>
      </c>
      <c r="AC34" s="199">
        <v>0</v>
      </c>
      <c r="AD34" s="150">
        <v>0</v>
      </c>
      <c r="AE34" s="150">
        <f>(0.3*P34)+(0.25*R34)+(0.2*G34)+(0.15*U34)+(0.1*Y34)</f>
        <v>34.024999999999999</v>
      </c>
      <c r="AF34" s="150">
        <f>((U34+G34)-V34)*_xlfn.PERCENTRANK.INC($V$2:$V$151,V34)</f>
        <v>1.6131999999999997</v>
      </c>
      <c r="AG34" s="150">
        <f>(0.35*I34)+(0.2*K34)+(0.15*O34)+(0.15+X34)+(0.15+W34)</f>
        <v>27.17</v>
      </c>
      <c r="AH34" s="297">
        <f>(AE34*0.4)+(AF34*0.3)+(AG34*0.3)</f>
        <v>22.244959999999999</v>
      </c>
      <c r="AI34" s="3" t="s">
        <v>345</v>
      </c>
    </row>
    <row r="35" spans="1:35" ht="15" thickBot="1" x14ac:dyDescent="0.35">
      <c r="A35" s="2" t="s">
        <v>52</v>
      </c>
      <c r="B35" s="3" t="s">
        <v>115</v>
      </c>
      <c r="C35" s="3" t="s">
        <v>116</v>
      </c>
      <c r="D35" s="3" t="s">
        <v>75</v>
      </c>
      <c r="E35" s="3">
        <v>22</v>
      </c>
      <c r="F35" s="2">
        <v>71.8</v>
      </c>
      <c r="G35" s="198">
        <v>4.0999999999999996</v>
      </c>
      <c r="H35" s="5">
        <v>4.4000000000000004</v>
      </c>
      <c r="I35" s="10">
        <v>9.6</v>
      </c>
      <c r="J35" s="59">
        <v>4.2</v>
      </c>
      <c r="K35" s="10">
        <v>5.4</v>
      </c>
      <c r="L35" s="10">
        <v>126.6</v>
      </c>
      <c r="M35" s="3">
        <f t="shared" si="2"/>
        <v>64.400000000000006</v>
      </c>
      <c r="N35" s="171">
        <v>89.7</v>
      </c>
      <c r="O35" s="3">
        <f>100-(_xlfn.PERCENTRANK.INC($N$2:$N$151,N35)*100)</f>
        <v>88</v>
      </c>
      <c r="P35" s="2">
        <v>21.5</v>
      </c>
      <c r="Q35" s="200">
        <v>54.6</v>
      </c>
      <c r="R35" s="6">
        <v>61.2</v>
      </c>
      <c r="S35" s="194">
        <v>2.2999999999999998</v>
      </c>
      <c r="T35" s="2">
        <v>10.5</v>
      </c>
      <c r="U35" s="145">
        <v>24.5</v>
      </c>
      <c r="V35" s="201">
        <v>14.9</v>
      </c>
      <c r="W35" s="66">
        <v>0.2</v>
      </c>
      <c r="X35" s="11">
        <v>3.5</v>
      </c>
      <c r="Y35" s="202">
        <v>57.1</v>
      </c>
      <c r="Z35" s="14">
        <v>3</v>
      </c>
      <c r="AA35" s="150">
        <v>81.3</v>
      </c>
      <c r="AB35" s="150">
        <v>51.9</v>
      </c>
      <c r="AC35" s="203">
        <v>3.1</v>
      </c>
      <c r="AD35" s="150">
        <v>44.4</v>
      </c>
      <c r="AE35" s="150">
        <f>(0.3*P35)+(0.25*R35)+(0.2*G35)+(0.15*U35)+(0.1*Y35)</f>
        <v>31.955000000000002</v>
      </c>
      <c r="AF35" s="150">
        <f>((U35+G35)-V35)*_xlfn.PERCENTRANK.INC($V$2:$V$151,V35)</f>
        <v>8.7269000000000005</v>
      </c>
      <c r="AG35" s="150">
        <f>(0.35*I35)+(0.2*K35)+(0.15*O35)+(0.15+X35)+(0.15+W35)</f>
        <v>21.64</v>
      </c>
      <c r="AH35" s="297">
        <f>(AE35*0.4)+(AF35*0.3)+(AG35*0.3)</f>
        <v>21.89207</v>
      </c>
      <c r="AI35" s="3" t="s">
        <v>345</v>
      </c>
    </row>
    <row r="36" spans="1:35" ht="15" thickBot="1" x14ac:dyDescent="0.35">
      <c r="A36" s="2" t="s">
        <v>48</v>
      </c>
      <c r="B36" s="3" t="s">
        <v>117</v>
      </c>
      <c r="C36" s="3" t="s">
        <v>118</v>
      </c>
      <c r="D36" s="3" t="s">
        <v>75</v>
      </c>
      <c r="E36" s="3">
        <v>21</v>
      </c>
      <c r="F36" s="2">
        <v>80.5</v>
      </c>
      <c r="G36" s="4">
        <v>5.8</v>
      </c>
      <c r="H36" s="10">
        <v>4.2</v>
      </c>
      <c r="I36" s="5">
        <v>10.199999999999999</v>
      </c>
      <c r="J36" s="5">
        <v>8.1</v>
      </c>
      <c r="K36" s="119">
        <v>2</v>
      </c>
      <c r="L36" s="79">
        <v>120.7</v>
      </c>
      <c r="M36" s="3">
        <f t="shared" si="2"/>
        <v>31.5</v>
      </c>
      <c r="N36" s="204">
        <v>96.6</v>
      </c>
      <c r="O36" s="3">
        <f>100-(_xlfn.PERCENTRANK.INC($N$2:$N$151,N36)*100)</f>
        <v>65.8</v>
      </c>
      <c r="P36" s="10">
        <v>31.7</v>
      </c>
      <c r="Q36" s="72">
        <v>56.5</v>
      </c>
      <c r="R36" s="7">
        <v>61.5</v>
      </c>
      <c r="S36" s="2">
        <v>4.7</v>
      </c>
      <c r="T36" s="19">
        <v>16.5</v>
      </c>
      <c r="U36" s="119">
        <v>21</v>
      </c>
      <c r="V36" s="71">
        <v>15.1</v>
      </c>
      <c r="W36" s="2">
        <v>1.4</v>
      </c>
      <c r="X36" s="2">
        <v>2.2000000000000002</v>
      </c>
      <c r="Y36" s="205">
        <v>56.1</v>
      </c>
      <c r="Z36" s="15">
        <v>1.5</v>
      </c>
      <c r="AA36" s="150">
        <v>76.099999999999994</v>
      </c>
      <c r="AB36" s="150">
        <v>58.599999999999994</v>
      </c>
      <c r="AC36" s="14">
        <v>5.8</v>
      </c>
      <c r="AD36" s="150">
        <v>32.9</v>
      </c>
      <c r="AE36" s="150">
        <f>(0.3*P36)+(0.25*R36)+(0.2*G36)+(0.15*U36)+(0.1*Y36)</f>
        <v>34.805</v>
      </c>
      <c r="AF36" s="150">
        <f>((U36+G36)-V36)*_xlfn.PERCENTRANK.INC($V$2:$V$151,V36)</f>
        <v>7.6869000000000014</v>
      </c>
      <c r="AG36" s="150">
        <f>(0.35*I36)+(0.2*K36)+(0.15*O36)+(0.15+X36)+(0.15+W36)</f>
        <v>17.739999999999998</v>
      </c>
      <c r="AH36" s="297">
        <f>(AE36*0.4)+(AF36*0.3)+(AG36*0.3)</f>
        <v>21.550070000000002</v>
      </c>
      <c r="AI36" s="3" t="s">
        <v>345</v>
      </c>
    </row>
    <row r="37" spans="1:35" ht="15" thickBot="1" x14ac:dyDescent="0.35">
      <c r="A37" s="2" t="s">
        <v>52</v>
      </c>
      <c r="B37" s="3" t="s">
        <v>119</v>
      </c>
      <c r="C37" s="3" t="s">
        <v>120</v>
      </c>
      <c r="D37" s="3" t="s">
        <v>80</v>
      </c>
      <c r="E37" s="3">
        <v>21</v>
      </c>
      <c r="F37" s="2">
        <v>69.7</v>
      </c>
      <c r="G37" s="4">
        <v>5.3</v>
      </c>
      <c r="H37" s="5">
        <v>4.9000000000000004</v>
      </c>
      <c r="I37" s="5">
        <v>15.5</v>
      </c>
      <c r="J37" s="5">
        <v>9.1</v>
      </c>
      <c r="K37" s="5">
        <v>6.4</v>
      </c>
      <c r="L37" s="5">
        <v>136</v>
      </c>
      <c r="M37" s="3">
        <f t="shared" si="2"/>
        <v>90.600000000000009</v>
      </c>
      <c r="N37" s="5">
        <v>83.7</v>
      </c>
      <c r="O37" s="3">
        <f>100-(_xlfn.PERCENTRANK.INC($N$2:$N$151,N37)*100)</f>
        <v>97.4</v>
      </c>
      <c r="P37" s="2">
        <v>21.4</v>
      </c>
      <c r="Q37" s="80">
        <v>56.9</v>
      </c>
      <c r="R37" s="79">
        <v>62.8</v>
      </c>
      <c r="S37" s="180">
        <v>9.9</v>
      </c>
      <c r="T37" s="206">
        <v>17.2</v>
      </c>
      <c r="U37" s="2">
        <v>17.600000000000001</v>
      </c>
      <c r="V37" s="82">
        <v>9.4</v>
      </c>
      <c r="W37" s="63">
        <v>5.2</v>
      </c>
      <c r="X37" s="19">
        <v>2.6</v>
      </c>
      <c r="Y37" s="14">
        <v>46</v>
      </c>
      <c r="Z37" s="207">
        <v>2.2000000000000002</v>
      </c>
      <c r="AA37" s="150">
        <v>84.899999999999991</v>
      </c>
      <c r="AB37" s="150">
        <v>67</v>
      </c>
      <c r="AC37" s="68">
        <v>8.5</v>
      </c>
      <c r="AD37" s="150">
        <v>30.099999999999998</v>
      </c>
      <c r="AE37" s="150">
        <f>(0.3*P37)+(0.25*R37)+(0.2*G37)+(0.15*U37)+(0.1*Y37)</f>
        <v>30.419999999999998</v>
      </c>
      <c r="AF37" s="150">
        <f>((U37+G37)-V37)*_xlfn.PERCENTRANK.INC($V$2:$V$151,V37)</f>
        <v>1.9845000000000002</v>
      </c>
      <c r="AG37" s="150">
        <f>(0.35*I37)+(0.2*K37)+(0.15*O37)+(0.15+X37)+(0.15+W37)</f>
        <v>29.414999999999999</v>
      </c>
      <c r="AH37" s="297">
        <f>(AE37*0.4)+(AF37*0.3)+(AG37*0.3)</f>
        <v>21.587849999999996</v>
      </c>
      <c r="AI37" s="3" t="s">
        <v>345</v>
      </c>
    </row>
    <row r="38" spans="1:35" ht="15" thickBot="1" x14ac:dyDescent="0.35">
      <c r="A38" s="2" t="s">
        <v>52</v>
      </c>
      <c r="B38" s="3" t="s">
        <v>121</v>
      </c>
      <c r="C38" s="3" t="s">
        <v>43</v>
      </c>
      <c r="D38" s="3" t="s">
        <v>75</v>
      </c>
      <c r="E38" s="3">
        <v>22</v>
      </c>
      <c r="F38" s="2">
        <v>83.6</v>
      </c>
      <c r="G38" s="158">
        <v>3.9</v>
      </c>
      <c r="H38" s="175">
        <v>3.1</v>
      </c>
      <c r="I38" s="161">
        <v>3.5</v>
      </c>
      <c r="J38" s="59">
        <v>4.3</v>
      </c>
      <c r="K38" s="2">
        <v>-0.8</v>
      </c>
      <c r="L38" s="60">
        <v>108.5</v>
      </c>
      <c r="M38" s="3">
        <f t="shared" si="2"/>
        <v>0.6</v>
      </c>
      <c r="N38" s="2">
        <v>107.6</v>
      </c>
      <c r="O38" s="3">
        <f>100-(_xlfn.PERCENTRANK.INC($N$2:$N$151,N38)*100)</f>
        <v>22.899999999999991</v>
      </c>
      <c r="P38" s="11">
        <v>28.5</v>
      </c>
      <c r="Q38" s="2">
        <v>49.2</v>
      </c>
      <c r="R38" s="2">
        <v>54.4</v>
      </c>
      <c r="S38" s="147">
        <v>1.7</v>
      </c>
      <c r="T38" s="64">
        <v>8.6999999999999993</v>
      </c>
      <c r="U38" s="5">
        <v>37.1</v>
      </c>
      <c r="V38" s="2">
        <v>19.2</v>
      </c>
      <c r="W38" s="66">
        <v>0.2</v>
      </c>
      <c r="X38" s="60">
        <v>2.4</v>
      </c>
      <c r="Y38" s="14">
        <v>34.200000000000003</v>
      </c>
      <c r="Z38" s="14">
        <v>2.8</v>
      </c>
      <c r="AA38" s="150">
        <v>82.399999999999991</v>
      </c>
      <c r="AB38" s="150">
        <v>42.6</v>
      </c>
      <c r="AC38" s="149">
        <v>12.3</v>
      </c>
      <c r="AD38" s="150">
        <v>36.4</v>
      </c>
      <c r="AE38" s="150">
        <f>(0.3*P38)+(0.25*R38)+(0.2*G38)+(0.15*U38)+(0.1*Y38)</f>
        <v>31.915000000000003</v>
      </c>
      <c r="AF38" s="150">
        <f>((U38+G38)-V38)*_xlfn.PERCENTRANK.INC($V$2:$V$151,V38)</f>
        <v>20.470199999999998</v>
      </c>
      <c r="AG38" s="150">
        <f>(0.35*I38)+(0.2*K38)+(0.15*O38)+(0.15+X38)+(0.15+W38)</f>
        <v>7.3999999999999977</v>
      </c>
      <c r="AH38" s="297">
        <f>(AE38*0.4)+(AF38*0.3)+(AG38*0.3)</f>
        <v>21.12706</v>
      </c>
      <c r="AI38" s="3" t="s">
        <v>345</v>
      </c>
    </row>
    <row r="39" spans="1:35" ht="15" thickBot="1" x14ac:dyDescent="0.35">
      <c r="A39" s="2" t="s">
        <v>52</v>
      </c>
      <c r="B39" s="3" t="s">
        <v>122</v>
      </c>
      <c r="C39" s="3" t="s">
        <v>123</v>
      </c>
      <c r="D39" s="3" t="s">
        <v>80</v>
      </c>
      <c r="E39" s="3">
        <v>21</v>
      </c>
      <c r="F39" s="2">
        <v>90.2</v>
      </c>
      <c r="G39" s="4">
        <v>5.8</v>
      </c>
      <c r="H39" s="5">
        <v>4.5999999999999996</v>
      </c>
      <c r="I39" s="10">
        <v>9.1999999999999993</v>
      </c>
      <c r="J39" s="10">
        <v>6.6</v>
      </c>
      <c r="K39" s="80">
        <v>2.6</v>
      </c>
      <c r="L39" s="10">
        <v>126.6</v>
      </c>
      <c r="M39" s="3">
        <f t="shared" si="2"/>
        <v>64.400000000000006</v>
      </c>
      <c r="N39" s="208">
        <v>97.4</v>
      </c>
      <c r="O39" s="3">
        <f>100-(_xlfn.PERCENTRANK.INC($N$2:$N$151,N39)*100)</f>
        <v>63.800000000000004</v>
      </c>
      <c r="P39" s="80">
        <v>25.5</v>
      </c>
      <c r="Q39" s="6">
        <v>58.4</v>
      </c>
      <c r="R39" s="79">
        <v>63</v>
      </c>
      <c r="S39" s="209">
        <v>0.7</v>
      </c>
      <c r="T39" s="146">
        <v>8.1</v>
      </c>
      <c r="U39" s="59">
        <v>27</v>
      </c>
      <c r="V39" s="62">
        <v>13.5</v>
      </c>
      <c r="W39" s="13">
        <v>0.5</v>
      </c>
      <c r="X39" s="19">
        <v>2.6</v>
      </c>
      <c r="Y39" s="14">
        <v>37.9</v>
      </c>
      <c r="Z39" s="210">
        <v>2.4</v>
      </c>
      <c r="AA39" s="150">
        <v>84.3</v>
      </c>
      <c r="AB39" s="150">
        <v>58.599999999999994</v>
      </c>
      <c r="AC39" s="211">
        <v>10.199999999999999</v>
      </c>
      <c r="AD39" s="150">
        <v>38.700000000000003</v>
      </c>
      <c r="AE39" s="150">
        <f>(0.3*P39)+(0.25*R39)+(0.2*G39)+(0.15*U39)+(0.1*Y39)</f>
        <v>32.4</v>
      </c>
      <c r="AF39" s="150">
        <f>((U39+G39)-V39)*_xlfn.PERCENTRANK.INC($V$2:$V$151,V39)</f>
        <v>9.5727999999999991</v>
      </c>
      <c r="AG39" s="150">
        <f>(0.35*I39)+(0.2*K39)+(0.15*O39)+(0.15+X39)+(0.15+W39)</f>
        <v>16.71</v>
      </c>
      <c r="AH39" s="297">
        <f>(AE39*0.4)+(AF39*0.3)+(AG39*0.3)</f>
        <v>20.844839999999998</v>
      </c>
      <c r="AI39" s="3" t="s">
        <v>345</v>
      </c>
    </row>
    <row r="40" spans="1:35" ht="15" thickBot="1" x14ac:dyDescent="0.35">
      <c r="A40" s="2" t="s">
        <v>34</v>
      </c>
      <c r="B40" s="3" t="s">
        <v>124</v>
      </c>
      <c r="C40" s="3" t="s">
        <v>125</v>
      </c>
      <c r="D40" s="3" t="s">
        <v>114</v>
      </c>
      <c r="E40" s="3">
        <v>22</v>
      </c>
      <c r="F40" s="2">
        <v>65.099999999999994</v>
      </c>
      <c r="G40" s="212">
        <v>3.8</v>
      </c>
      <c r="H40" s="180">
        <v>3.3</v>
      </c>
      <c r="I40" s="10">
        <v>9.3000000000000007</v>
      </c>
      <c r="J40" s="10">
        <v>6.5</v>
      </c>
      <c r="K40" s="20">
        <v>2.8</v>
      </c>
      <c r="L40" s="10">
        <v>128.1</v>
      </c>
      <c r="M40" s="3">
        <f t="shared" si="2"/>
        <v>71.099999999999994</v>
      </c>
      <c r="N40" s="213">
        <v>97.6</v>
      </c>
      <c r="O40" s="3">
        <f>100-(_xlfn.PERCENTRANK.INC($N$2:$N$151,N40)*100)</f>
        <v>63.1</v>
      </c>
      <c r="P40" s="2">
        <v>22.4</v>
      </c>
      <c r="Q40" s="17">
        <v>62.5</v>
      </c>
      <c r="R40" s="10">
        <v>66</v>
      </c>
      <c r="S40" s="13">
        <v>3.2</v>
      </c>
      <c r="T40" s="2">
        <v>14.2</v>
      </c>
      <c r="U40" s="63">
        <v>25.7</v>
      </c>
      <c r="V40" s="2">
        <v>18</v>
      </c>
      <c r="W40" s="2">
        <v>1.3</v>
      </c>
      <c r="X40" s="2">
        <v>1.5</v>
      </c>
      <c r="Y40" s="169">
        <v>47.7</v>
      </c>
      <c r="Z40" s="185">
        <v>2.6</v>
      </c>
      <c r="AA40" s="150">
        <v>77.400000000000006</v>
      </c>
      <c r="AB40" s="150">
        <v>61</v>
      </c>
      <c r="AC40" s="16">
        <v>9</v>
      </c>
      <c r="AD40" s="150">
        <v>42.6</v>
      </c>
      <c r="AE40" s="150">
        <f>(0.3*P40)+(0.25*R40)+(0.2*G40)+(0.15*U40)+(0.1*Y40)</f>
        <v>32.605000000000004</v>
      </c>
      <c r="AF40" s="150">
        <f>((U40+G40)-V40)*_xlfn.PERCENTRANK.INC($V$2:$V$151,V40)</f>
        <v>10.258000000000001</v>
      </c>
      <c r="AG40" s="150">
        <f>(0.35*I40)+(0.2*K40)+(0.15*O40)+(0.15+X40)+(0.15+W40)</f>
        <v>16.38</v>
      </c>
      <c r="AH40" s="297">
        <f>(AE40*0.4)+(AF40*0.3)+(AG40*0.3)</f>
        <v>21.0334</v>
      </c>
      <c r="AI40" s="3" t="s">
        <v>345</v>
      </c>
    </row>
    <row r="41" spans="1:35" ht="15" thickBot="1" x14ac:dyDescent="0.35">
      <c r="A41" s="2" t="s">
        <v>41</v>
      </c>
      <c r="B41" s="3" t="s">
        <v>126</v>
      </c>
      <c r="C41" s="3" t="s">
        <v>127</v>
      </c>
      <c r="D41" s="3" t="s">
        <v>51</v>
      </c>
      <c r="E41" s="3">
        <v>22</v>
      </c>
      <c r="F41" s="2">
        <v>78</v>
      </c>
      <c r="G41" s="58">
        <v>4.9000000000000004</v>
      </c>
      <c r="H41" s="17">
        <v>3.9</v>
      </c>
      <c r="I41" s="5">
        <v>10.6</v>
      </c>
      <c r="J41" s="5">
        <v>7.2</v>
      </c>
      <c r="K41" s="7">
        <v>3.4</v>
      </c>
      <c r="L41" s="17">
        <v>123.6</v>
      </c>
      <c r="M41" s="3">
        <f t="shared" si="2"/>
        <v>46.300000000000004</v>
      </c>
      <c r="N41" s="214">
        <v>97.9</v>
      </c>
      <c r="O41" s="3">
        <f>100-(_xlfn.PERCENTRANK.INC($N$2:$N$151,N41)*100)</f>
        <v>61.8</v>
      </c>
      <c r="P41" s="20">
        <v>26</v>
      </c>
      <c r="Q41" s="11">
        <v>61.2</v>
      </c>
      <c r="R41" s="17">
        <v>65.3</v>
      </c>
      <c r="S41" s="2">
        <v>5.8</v>
      </c>
      <c r="T41" s="79">
        <v>20.6</v>
      </c>
      <c r="U41" s="206">
        <v>21.7</v>
      </c>
      <c r="V41" s="2">
        <v>19</v>
      </c>
      <c r="W41" s="2">
        <v>1.1000000000000001</v>
      </c>
      <c r="X41" s="59">
        <v>3.3</v>
      </c>
      <c r="Y41" s="215">
        <v>49.2</v>
      </c>
      <c r="Z41" s="14">
        <v>3.2</v>
      </c>
      <c r="AA41" s="150">
        <v>79</v>
      </c>
      <c r="AB41" s="150">
        <v>65.600000000000009</v>
      </c>
      <c r="AC41" s="14">
        <v>5.2</v>
      </c>
      <c r="AD41" s="150">
        <v>32.300000000000004</v>
      </c>
      <c r="AE41" s="150">
        <f>(0.3*P41)+(0.25*R41)+(0.2*G41)+(0.15*U41)+(0.1*Y41)</f>
        <v>33.28</v>
      </c>
      <c r="AF41" s="150">
        <f>((U41+G41)-V41)*_xlfn.PERCENTRANK.INC($V$2:$V$151,V41)</f>
        <v>6.9844000000000017</v>
      </c>
      <c r="AG41" s="150">
        <f>(0.35*I41)+(0.2*K41)+(0.15*O41)+(0.15+X41)+(0.15+W41)</f>
        <v>18.36</v>
      </c>
      <c r="AH41" s="297">
        <f>(AE41*0.4)+(AF41*0.3)+(AG41*0.3)</f>
        <v>20.915320000000001</v>
      </c>
      <c r="AI41" s="3" t="s">
        <v>345</v>
      </c>
    </row>
    <row r="42" spans="1:35" ht="15" thickBot="1" x14ac:dyDescent="0.35">
      <c r="A42" s="2" t="s">
        <v>41</v>
      </c>
      <c r="B42" s="3" t="s">
        <v>128</v>
      </c>
      <c r="C42" s="3" t="s">
        <v>74</v>
      </c>
      <c r="D42" s="3" t="s">
        <v>75</v>
      </c>
      <c r="E42" s="3">
        <v>22</v>
      </c>
      <c r="F42" s="2">
        <v>77.5</v>
      </c>
      <c r="G42" s="58">
        <v>4.8</v>
      </c>
      <c r="H42" s="5">
        <v>5</v>
      </c>
      <c r="I42" s="5">
        <v>11.1</v>
      </c>
      <c r="J42" s="17">
        <v>5.7</v>
      </c>
      <c r="K42" s="10">
        <v>5.4</v>
      </c>
      <c r="L42" s="10">
        <v>127.9</v>
      </c>
      <c r="M42" s="3">
        <f t="shared" si="2"/>
        <v>69.699999999999989</v>
      </c>
      <c r="N42" s="18">
        <v>87.6</v>
      </c>
      <c r="O42" s="3">
        <f>100-(_xlfn.PERCENTRANK.INC($N$2:$N$151,N42)*100)</f>
        <v>93.3</v>
      </c>
      <c r="P42" s="2">
        <v>20.399999999999999</v>
      </c>
      <c r="Q42" s="5">
        <v>67.7</v>
      </c>
      <c r="R42" s="5">
        <v>67.900000000000006</v>
      </c>
      <c r="S42" s="7">
        <v>10.7</v>
      </c>
      <c r="T42" s="145">
        <v>18.8</v>
      </c>
      <c r="U42" s="2">
        <v>11</v>
      </c>
      <c r="V42" s="216">
        <v>14.2</v>
      </c>
      <c r="W42" s="5">
        <v>9.6</v>
      </c>
      <c r="X42" s="66">
        <v>1.3</v>
      </c>
      <c r="Y42" s="14">
        <v>34.799999999999997</v>
      </c>
      <c r="Z42" s="14">
        <v>2.7</v>
      </c>
      <c r="AA42" s="150">
        <v>65.7</v>
      </c>
      <c r="AB42" s="150">
        <v>68</v>
      </c>
      <c r="AC42" s="217">
        <v>0.1</v>
      </c>
      <c r="AD42" s="150">
        <v>0</v>
      </c>
      <c r="AE42" s="150">
        <f>(0.3*P42)+(0.25*R42)+(0.2*G42)+(0.15*U42)+(0.1*Y42)</f>
        <v>29.184999999999999</v>
      </c>
      <c r="AF42" s="150">
        <f>((U42+G42)-V42)*_xlfn.PERCENTRANK.INC($V$2:$V$151,V42)</f>
        <v>0.89120000000000088</v>
      </c>
      <c r="AG42" s="150">
        <f>(0.35*I42)+(0.2*K42)+(0.15*O42)+(0.15+X42)+(0.15+W42)</f>
        <v>30.16</v>
      </c>
      <c r="AH42" s="297">
        <f>(AE42*0.4)+(AF42*0.3)+(AG42*0.3)</f>
        <v>20.989359999999998</v>
      </c>
      <c r="AI42" s="3" t="s">
        <v>345</v>
      </c>
    </row>
    <row r="43" spans="1:35" ht="15" thickBot="1" x14ac:dyDescent="0.35">
      <c r="A43" s="2" t="s">
        <v>52</v>
      </c>
      <c r="B43" s="3" t="s">
        <v>129</v>
      </c>
      <c r="C43" s="3" t="s">
        <v>130</v>
      </c>
      <c r="D43" s="3" t="s">
        <v>75</v>
      </c>
      <c r="E43" s="3">
        <v>21</v>
      </c>
      <c r="F43" s="2">
        <v>80.400000000000006</v>
      </c>
      <c r="G43" s="158">
        <v>4</v>
      </c>
      <c r="H43" s="161">
        <v>3.1</v>
      </c>
      <c r="I43" s="206">
        <v>3.4</v>
      </c>
      <c r="J43" s="145">
        <v>3.4</v>
      </c>
      <c r="K43" s="2">
        <v>0</v>
      </c>
      <c r="L43" s="145">
        <v>116.2</v>
      </c>
      <c r="M43" s="3">
        <f t="shared" si="2"/>
        <v>9.3000000000000007</v>
      </c>
      <c r="N43" s="2">
        <v>106</v>
      </c>
      <c r="O43" s="3">
        <f>100-(_xlfn.PERCENTRANK.INC($N$2:$N$151,N43)*100)</f>
        <v>27.600000000000009</v>
      </c>
      <c r="P43" s="206">
        <v>24.8</v>
      </c>
      <c r="Q43" s="2">
        <v>52.7</v>
      </c>
      <c r="R43" s="81">
        <v>56.8</v>
      </c>
      <c r="S43" s="194">
        <v>2.2000000000000002</v>
      </c>
      <c r="T43" s="162">
        <v>9.1</v>
      </c>
      <c r="U43" s="5">
        <v>37.1</v>
      </c>
      <c r="V43" s="2">
        <v>20.8</v>
      </c>
      <c r="W43" s="152">
        <v>0</v>
      </c>
      <c r="X43" s="184">
        <v>1.4</v>
      </c>
      <c r="Y43" s="14">
        <v>35.1</v>
      </c>
      <c r="Z43" s="210">
        <v>2.4</v>
      </c>
      <c r="AA43" s="150">
        <v>77.2</v>
      </c>
      <c r="AB43" s="150">
        <v>50</v>
      </c>
      <c r="AC43" s="182">
        <v>2.7</v>
      </c>
      <c r="AD43" s="150">
        <v>45.5</v>
      </c>
      <c r="AE43" s="150">
        <f>(0.3*P43)+(0.25*R43)+(0.2*G43)+(0.15*U43)+(0.1*Y43)</f>
        <v>31.515000000000004</v>
      </c>
      <c r="AF43" s="150">
        <f>((U43+G43)-V43)*_xlfn.PERCENTRANK.INC($V$2:$V$151,V43)</f>
        <v>19.873699999999999</v>
      </c>
      <c r="AG43" s="150">
        <f>(0.35*I43)+(0.2*K43)+(0.15*O43)+(0.15+X43)+(0.15+W43)</f>
        <v>7.030000000000002</v>
      </c>
      <c r="AH43" s="297">
        <f>(AE43*0.4)+(AF43*0.3)+(AG43*0.3)</f>
        <v>20.677110000000003</v>
      </c>
      <c r="AI43" s="3" t="s">
        <v>345</v>
      </c>
    </row>
    <row r="44" spans="1:35" ht="15" thickBot="1" x14ac:dyDescent="0.35">
      <c r="A44" s="2" t="s">
        <v>48</v>
      </c>
      <c r="B44" s="3" t="s">
        <v>131</v>
      </c>
      <c r="C44" s="3" t="s">
        <v>132</v>
      </c>
      <c r="D44" s="3" t="s">
        <v>80</v>
      </c>
      <c r="E44" s="3">
        <v>22</v>
      </c>
      <c r="F44" s="2">
        <v>80.599999999999994</v>
      </c>
      <c r="G44" s="4">
        <v>7.1</v>
      </c>
      <c r="H44" s="17">
        <v>4</v>
      </c>
      <c r="I44" s="5">
        <v>12.8</v>
      </c>
      <c r="J44" s="5">
        <v>9.9</v>
      </c>
      <c r="K44" s="180">
        <v>2.8</v>
      </c>
      <c r="L44" s="5">
        <v>140.6</v>
      </c>
      <c r="M44" s="3">
        <f t="shared" si="2"/>
        <v>95.899999999999991</v>
      </c>
      <c r="N44" s="218">
        <v>98.7</v>
      </c>
      <c r="O44" s="3">
        <f>100-(_xlfn.PERCENTRANK.INC($N$2:$N$151,N44)*100)</f>
        <v>58.4</v>
      </c>
      <c r="P44" s="175">
        <v>24.6</v>
      </c>
      <c r="Q44" s="63">
        <v>59.5</v>
      </c>
      <c r="R44" s="17">
        <v>65.099999999999994</v>
      </c>
      <c r="S44" s="2">
        <v>7</v>
      </c>
      <c r="T44" s="2">
        <v>9.9</v>
      </c>
      <c r="U44" s="20">
        <v>23.9</v>
      </c>
      <c r="V44" s="9">
        <v>11.3</v>
      </c>
      <c r="W44" s="2">
        <v>0.8</v>
      </c>
      <c r="X44" s="2">
        <v>1.5</v>
      </c>
      <c r="Y44" s="205">
        <v>56.2</v>
      </c>
      <c r="Z44" s="210">
        <v>2.4</v>
      </c>
      <c r="AA44" s="150">
        <v>81.599999999999994</v>
      </c>
      <c r="AB44" s="150">
        <v>52.6</v>
      </c>
      <c r="AC44" s="219">
        <v>10.8</v>
      </c>
      <c r="AD44" s="150">
        <v>43.8</v>
      </c>
      <c r="AE44" s="150">
        <f>(0.3*P44)+(0.25*R44)+(0.2*G44)+(0.15*U44)+(0.1*Y44)</f>
        <v>34.28</v>
      </c>
      <c r="AF44" s="150">
        <f>((U44+G44)-V44)*_xlfn.PERCENTRANK.INC($V$2:$V$151,V44)</f>
        <v>5.2796000000000003</v>
      </c>
      <c r="AG44" s="150">
        <f>(0.35*I44)+(0.2*K44)+(0.15*O44)+(0.15+X44)+(0.15+W44)</f>
        <v>16.399999999999999</v>
      </c>
      <c r="AH44" s="297">
        <f>(AE44*0.4)+(AF44*0.3)+(AG44*0.3)</f>
        <v>20.215880000000002</v>
      </c>
      <c r="AI44" s="3" t="s">
        <v>345</v>
      </c>
    </row>
    <row r="45" spans="1:35" ht="15" thickBot="1" x14ac:dyDescent="0.35">
      <c r="A45" s="2" t="s">
        <v>41</v>
      </c>
      <c r="B45" s="3" t="s">
        <v>133</v>
      </c>
      <c r="C45" s="3" t="s">
        <v>120</v>
      </c>
      <c r="D45" s="3" t="s">
        <v>80</v>
      </c>
      <c r="E45" s="3">
        <v>21</v>
      </c>
      <c r="F45" s="2">
        <v>59.2</v>
      </c>
      <c r="G45" s="151">
        <v>4.4000000000000004</v>
      </c>
      <c r="H45" s="10">
        <v>4.0999999999999996</v>
      </c>
      <c r="I45" s="5">
        <v>12.6</v>
      </c>
      <c r="J45" s="10">
        <v>7</v>
      </c>
      <c r="K45" s="10">
        <v>5.6</v>
      </c>
      <c r="L45" s="5">
        <v>135.69999999999999</v>
      </c>
      <c r="M45" s="3">
        <f t="shared" si="2"/>
        <v>89.9</v>
      </c>
      <c r="N45" s="220">
        <v>84</v>
      </c>
      <c r="O45" s="3">
        <f>100-(_xlfn.PERCENTRANK.INC($N$2:$N$151,N45)*100)</f>
        <v>96.7</v>
      </c>
      <c r="P45" s="2">
        <v>21</v>
      </c>
      <c r="Q45" s="5">
        <v>70.3</v>
      </c>
      <c r="R45" s="5">
        <v>73.099999999999994</v>
      </c>
      <c r="S45" s="79">
        <v>11.8</v>
      </c>
      <c r="T45" s="6">
        <v>19</v>
      </c>
      <c r="U45" s="2">
        <v>9.6999999999999993</v>
      </c>
      <c r="V45" s="213">
        <v>15.4</v>
      </c>
      <c r="W45" s="79">
        <v>5.6</v>
      </c>
      <c r="X45" s="2">
        <v>1.8</v>
      </c>
      <c r="Y45" s="16">
        <v>50.6</v>
      </c>
      <c r="Z45" s="221">
        <v>3.8</v>
      </c>
      <c r="AA45" s="150">
        <v>80.2</v>
      </c>
      <c r="AB45" s="150">
        <v>70.899999999999991</v>
      </c>
      <c r="AC45" s="222">
        <v>1.3</v>
      </c>
      <c r="AD45" s="150">
        <v>41.699999999999996</v>
      </c>
      <c r="AE45" s="150">
        <f>(0.3*P45)+(0.25*R45)+(0.2*G45)+(0.15*U45)+(0.1*Y45)</f>
        <v>31.97</v>
      </c>
      <c r="AF45" s="150">
        <f>((U45+G45)-V45)*_xlfn.PERCENTRANK.INC($V$2:$V$151,V45)</f>
        <v>-0.89830000000000043</v>
      </c>
      <c r="AG45" s="150">
        <f>(0.35*I45)+(0.2*K45)+(0.15*O45)+(0.15+X45)+(0.15+W45)</f>
        <v>27.734999999999996</v>
      </c>
      <c r="AH45" s="297">
        <f>(AE45*0.4)+(AF45*0.3)+(AG45*0.3)</f>
        <v>20.839010000000002</v>
      </c>
      <c r="AI45" s="3" t="s">
        <v>345</v>
      </c>
    </row>
    <row r="46" spans="1:35" ht="15" thickBot="1" x14ac:dyDescent="0.35">
      <c r="A46" s="2" t="s">
        <v>52</v>
      </c>
      <c r="B46" s="3" t="s">
        <v>134</v>
      </c>
      <c r="C46" s="3" t="s">
        <v>135</v>
      </c>
      <c r="D46" s="3" t="s">
        <v>109</v>
      </c>
      <c r="E46" s="3">
        <v>21</v>
      </c>
      <c r="F46" s="2">
        <v>79.599999999999994</v>
      </c>
      <c r="G46" s="4">
        <v>5.3</v>
      </c>
      <c r="H46" s="223">
        <v>2.9</v>
      </c>
      <c r="I46" s="10">
        <v>8.4</v>
      </c>
      <c r="J46" s="5">
        <v>7.5</v>
      </c>
      <c r="K46" s="2">
        <v>0.9</v>
      </c>
      <c r="L46" s="5">
        <v>130.9</v>
      </c>
      <c r="M46" s="3">
        <f t="shared" si="2"/>
        <v>82.5</v>
      </c>
      <c r="N46" s="224">
        <v>107.9</v>
      </c>
      <c r="O46" s="3">
        <f>100-(_xlfn.PERCENTRANK.INC($N$2:$N$151,N46)*100)</f>
        <v>22.200000000000003</v>
      </c>
      <c r="P46" s="7">
        <v>26.9</v>
      </c>
      <c r="Q46" s="17">
        <v>62</v>
      </c>
      <c r="R46" s="17">
        <v>65.400000000000006</v>
      </c>
      <c r="S46" s="152">
        <v>2.4</v>
      </c>
      <c r="T46" s="183">
        <v>7.4</v>
      </c>
      <c r="U46" s="17">
        <v>30.1</v>
      </c>
      <c r="V46" s="201">
        <v>14.9</v>
      </c>
      <c r="W46" s="2">
        <v>1.2</v>
      </c>
      <c r="X46" s="60">
        <v>2.4</v>
      </c>
      <c r="Y46" s="156">
        <v>24.1</v>
      </c>
      <c r="Z46" s="225">
        <v>1.6</v>
      </c>
      <c r="AA46" s="150">
        <v>90.100000000000009</v>
      </c>
      <c r="AB46" s="150">
        <v>64.900000000000006</v>
      </c>
      <c r="AC46" s="139">
        <v>10.4</v>
      </c>
      <c r="AD46" s="150">
        <v>38.700000000000003</v>
      </c>
      <c r="AE46" s="150">
        <f>(0.3*P46)+(0.25*R46)+(0.2*G46)+(0.15*U46)+(0.1*Y46)</f>
        <v>32.405000000000001</v>
      </c>
      <c r="AF46" s="150">
        <f>((U46+G46)-V46)*_xlfn.PERCENTRANK.INC($V$2:$V$151,V46)</f>
        <v>13.0585</v>
      </c>
      <c r="AG46" s="150">
        <f>(0.35*I46)+(0.2*K46)+(0.15*O46)+(0.15+X46)+(0.15+W46)</f>
        <v>10.35</v>
      </c>
      <c r="AH46" s="297">
        <f>(AE46*0.4)+(AF46*0.3)+(AG46*0.3)</f>
        <v>19.984550000000002</v>
      </c>
      <c r="AI46" s="3" t="s">
        <v>345</v>
      </c>
    </row>
    <row r="47" spans="1:35" ht="15" thickBot="1" x14ac:dyDescent="0.35">
      <c r="A47" s="2" t="s">
        <v>52</v>
      </c>
      <c r="B47" s="3" t="s">
        <v>136</v>
      </c>
      <c r="C47" s="3" t="s">
        <v>137</v>
      </c>
      <c r="D47" s="3" t="s">
        <v>62</v>
      </c>
      <c r="E47" s="3">
        <v>22</v>
      </c>
      <c r="F47" s="2">
        <v>83.5</v>
      </c>
      <c r="G47" s="69">
        <v>4.3</v>
      </c>
      <c r="H47" s="11">
        <v>3.8</v>
      </c>
      <c r="I47" s="59">
        <v>6.1</v>
      </c>
      <c r="J47" s="79">
        <v>4.7</v>
      </c>
      <c r="K47" s="70">
        <v>1.4</v>
      </c>
      <c r="L47" s="11">
        <v>121.6</v>
      </c>
      <c r="M47" s="3">
        <f t="shared" si="2"/>
        <v>38.200000000000003</v>
      </c>
      <c r="N47" s="2">
        <v>101.1</v>
      </c>
      <c r="O47" s="3">
        <f>100-(_xlfn.PERCENTRANK.INC($N$2:$N$151,N47)*100)</f>
        <v>47.699999999999996</v>
      </c>
      <c r="P47" s="200">
        <v>23.8</v>
      </c>
      <c r="Q47" s="2">
        <v>53</v>
      </c>
      <c r="R47" s="163">
        <v>57</v>
      </c>
      <c r="S47" s="194">
        <v>2.2999999999999998</v>
      </c>
      <c r="T47" s="162">
        <v>9.1999999999999993</v>
      </c>
      <c r="U47" s="17">
        <v>30.6</v>
      </c>
      <c r="V47" s="71">
        <v>15.1</v>
      </c>
      <c r="W47" s="2">
        <v>0.8</v>
      </c>
      <c r="X47" s="2">
        <v>2.2000000000000002</v>
      </c>
      <c r="Y47" s="14">
        <v>33.799999999999997</v>
      </c>
      <c r="Z47" s="177">
        <v>1.9</v>
      </c>
      <c r="AA47" s="150">
        <v>77.8</v>
      </c>
      <c r="AB47" s="150">
        <v>53.300000000000004</v>
      </c>
      <c r="AC47" s="14">
        <v>7.4</v>
      </c>
      <c r="AD47" s="150">
        <v>35.099999999999994</v>
      </c>
      <c r="AE47" s="150">
        <f>(0.3*P47)+(0.25*R47)+(0.2*G47)+(0.15*U47)+(0.1*Y47)</f>
        <v>30.22</v>
      </c>
      <c r="AF47" s="150">
        <f>((U47+G47)-V47)*_xlfn.PERCENTRANK.INC($V$2:$V$151,V47)</f>
        <v>13.008599999999999</v>
      </c>
      <c r="AG47" s="150">
        <f>(0.35*I47)+(0.2*K47)+(0.15*O47)+(0.15+X47)+(0.15+W47)</f>
        <v>12.869999999999997</v>
      </c>
      <c r="AH47" s="297">
        <f>(AE47*0.4)+(AF47*0.3)+(AG47*0.3)</f>
        <v>19.851579999999998</v>
      </c>
      <c r="AI47" s="3" t="s">
        <v>345</v>
      </c>
    </row>
    <row r="48" spans="1:35" ht="15" thickBot="1" x14ac:dyDescent="0.35">
      <c r="A48" s="2" t="s">
        <v>52</v>
      </c>
      <c r="B48" s="3" t="s">
        <v>138</v>
      </c>
      <c r="C48" s="3" t="s">
        <v>139</v>
      </c>
      <c r="D48" s="3" t="s">
        <v>47</v>
      </c>
      <c r="E48" s="3">
        <v>18</v>
      </c>
      <c r="F48" s="2">
        <v>77.7</v>
      </c>
      <c r="G48" s="69">
        <v>4.3</v>
      </c>
      <c r="H48" s="2">
        <v>2.4</v>
      </c>
      <c r="I48" s="72">
        <v>3.8</v>
      </c>
      <c r="J48" s="59">
        <v>4.3</v>
      </c>
      <c r="K48" s="2">
        <v>-0.5</v>
      </c>
      <c r="L48" s="7">
        <v>118.1</v>
      </c>
      <c r="M48" s="3">
        <f t="shared" si="2"/>
        <v>17.399999999999999</v>
      </c>
      <c r="N48" s="226">
        <v>114.3</v>
      </c>
      <c r="O48" s="3">
        <f>100-(_xlfn.PERCENTRANK.INC($N$2:$N$151,N48)*100)</f>
        <v>6.1000000000000085</v>
      </c>
      <c r="P48" s="11">
        <v>28.6</v>
      </c>
      <c r="Q48" s="2">
        <v>52.5</v>
      </c>
      <c r="R48" s="124">
        <v>57.2</v>
      </c>
      <c r="S48" s="227">
        <v>2.7</v>
      </c>
      <c r="T48" s="2">
        <v>14</v>
      </c>
      <c r="U48" s="5">
        <v>37.700000000000003</v>
      </c>
      <c r="V48" s="71">
        <v>15.1</v>
      </c>
      <c r="W48" s="2">
        <v>0.7</v>
      </c>
      <c r="X48" s="146">
        <v>1.2</v>
      </c>
      <c r="Y48" s="14">
        <v>34.200000000000003</v>
      </c>
      <c r="Z48" s="14">
        <v>3.1</v>
      </c>
      <c r="AA48" s="150">
        <v>81.8</v>
      </c>
      <c r="AB48" s="150">
        <v>54.2</v>
      </c>
      <c r="AC48" s="14">
        <v>7.2</v>
      </c>
      <c r="AD48" s="150">
        <v>32.5</v>
      </c>
      <c r="AE48" s="150">
        <f>(0.3*P48)+(0.25*R48)+(0.2*G48)+(0.15*U48)+(0.1*Y48)</f>
        <v>32.815000000000005</v>
      </c>
      <c r="AF48" s="150">
        <f>((U48+G48)-V48)*_xlfn.PERCENTRANK.INC($V$2:$V$151,V48)</f>
        <v>17.673300000000001</v>
      </c>
      <c r="AG48" s="150">
        <f>(0.35*I48)+(0.2*K48)+(0.15*O48)+(0.15+X48)+(0.15+W48)</f>
        <v>4.3450000000000006</v>
      </c>
      <c r="AH48" s="297">
        <f>(AE48*0.4)+(AF48*0.3)+(AG48*0.3)</f>
        <v>19.731490000000001</v>
      </c>
      <c r="AI48" s="3" t="s">
        <v>345</v>
      </c>
    </row>
    <row r="49" spans="1:35" ht="15" thickBot="1" x14ac:dyDescent="0.35">
      <c r="A49" s="2" t="s">
        <v>52</v>
      </c>
      <c r="B49" s="3" t="s">
        <v>140</v>
      </c>
      <c r="C49" s="3" t="s">
        <v>141</v>
      </c>
      <c r="D49" s="3" t="s">
        <v>51</v>
      </c>
      <c r="E49" s="3">
        <v>21</v>
      </c>
      <c r="F49" s="2">
        <v>78.599999999999994</v>
      </c>
      <c r="G49" s="4">
        <v>6.2</v>
      </c>
      <c r="H49" s="79">
        <v>3.7</v>
      </c>
      <c r="I49" s="10">
        <v>9.9</v>
      </c>
      <c r="J49" s="5">
        <v>8.6</v>
      </c>
      <c r="K49" s="2">
        <v>1.2</v>
      </c>
      <c r="L49" s="10">
        <v>126.6</v>
      </c>
      <c r="M49" s="3">
        <f t="shared" si="2"/>
        <v>64.400000000000006</v>
      </c>
      <c r="N49" s="2">
        <v>101.9</v>
      </c>
      <c r="O49" s="3">
        <f>100-(_xlfn.PERCENTRANK.INC($N$2:$N$151,N49)*100)</f>
        <v>44.3</v>
      </c>
      <c r="P49" s="63">
        <v>27.4</v>
      </c>
      <c r="Q49" s="179">
        <v>55.1</v>
      </c>
      <c r="R49" s="17">
        <v>64.3</v>
      </c>
      <c r="S49" s="2">
        <v>7.3</v>
      </c>
      <c r="T49" s="72">
        <v>17.5</v>
      </c>
      <c r="U49" s="2">
        <v>16.600000000000001</v>
      </c>
      <c r="V49" s="218">
        <v>16.100000000000001</v>
      </c>
      <c r="W49" s="2">
        <v>2.6</v>
      </c>
      <c r="X49" s="184">
        <v>1.4</v>
      </c>
      <c r="Y49" s="228">
        <v>73.099999999999994</v>
      </c>
      <c r="Z49" s="14">
        <v>3</v>
      </c>
      <c r="AA49" s="150">
        <v>85.9</v>
      </c>
      <c r="AB49" s="150">
        <v>51.300000000000004</v>
      </c>
      <c r="AC49" s="14">
        <v>7.8</v>
      </c>
      <c r="AD49" s="150">
        <v>41.099999999999994</v>
      </c>
      <c r="AE49" s="150">
        <f>(0.3*P49)+(0.25*R49)+(0.2*G49)+(0.15*U49)+(0.1*Y49)</f>
        <v>35.335000000000001</v>
      </c>
      <c r="AF49" s="150">
        <f>((U49+G49)-V49)*_xlfn.PERCENTRANK.INC($V$2:$V$151,V49)</f>
        <v>4.8976999999999995</v>
      </c>
      <c r="AG49" s="150">
        <f>(0.35*I49)+(0.2*K49)+(0.15*O49)+(0.15+X49)+(0.15+W49)</f>
        <v>14.649999999999999</v>
      </c>
      <c r="AH49" s="297">
        <f>(AE49*0.4)+(AF49*0.3)+(AG49*0.3)</f>
        <v>19.99831</v>
      </c>
      <c r="AI49" s="3" t="s">
        <v>345</v>
      </c>
    </row>
    <row r="50" spans="1:35" ht="15" thickBot="1" x14ac:dyDescent="0.35">
      <c r="A50" s="2" t="s">
        <v>34</v>
      </c>
      <c r="B50" s="3" t="s">
        <v>142</v>
      </c>
      <c r="C50" s="3" t="s">
        <v>143</v>
      </c>
      <c r="D50" s="3" t="s">
        <v>144</v>
      </c>
      <c r="E50" s="3">
        <v>20</v>
      </c>
      <c r="F50" s="2">
        <v>80</v>
      </c>
      <c r="G50" s="158">
        <v>4</v>
      </c>
      <c r="H50" s="223">
        <v>2.9</v>
      </c>
      <c r="I50" s="20">
        <v>4.5</v>
      </c>
      <c r="J50" s="6">
        <v>3.7</v>
      </c>
      <c r="K50" s="2">
        <v>0.9</v>
      </c>
      <c r="L50" s="7">
        <v>117.8</v>
      </c>
      <c r="M50" s="3">
        <f t="shared" si="2"/>
        <v>14.7</v>
      </c>
      <c r="N50" s="229">
        <v>109.5</v>
      </c>
      <c r="O50" s="3">
        <f>100-(_xlfn.PERCENTRANK.INC($N$2:$N$151,N50)*100)</f>
        <v>18.200000000000003</v>
      </c>
      <c r="P50" s="59">
        <v>27.5</v>
      </c>
      <c r="Q50" s="175">
        <v>55.7</v>
      </c>
      <c r="R50" s="180">
        <v>60</v>
      </c>
      <c r="S50" s="194">
        <v>2.2999999999999998</v>
      </c>
      <c r="T50" s="70">
        <v>15.3</v>
      </c>
      <c r="U50" s="10">
        <v>31.8</v>
      </c>
      <c r="V50" s="208">
        <v>15.2</v>
      </c>
      <c r="W50" s="2">
        <v>0.8</v>
      </c>
      <c r="X50" s="145">
        <v>3</v>
      </c>
      <c r="Y50" s="14">
        <v>32.200000000000003</v>
      </c>
      <c r="Z50" s="173">
        <v>2.2999999999999998</v>
      </c>
      <c r="AA50" s="150">
        <v>83.3</v>
      </c>
      <c r="AB50" s="150">
        <v>55.300000000000004</v>
      </c>
      <c r="AC50" s="230">
        <v>2.9</v>
      </c>
      <c r="AD50" s="150">
        <v>39.4</v>
      </c>
      <c r="AE50" s="150">
        <f>(0.3*P50)+(0.25*R50)+(0.2*G50)+(0.15*U50)+(0.1*Y50)</f>
        <v>32.04</v>
      </c>
      <c r="AF50" s="150">
        <f>((U50+G50)-V50)*_xlfn.PERCENTRANK.INC($V$2:$V$151,V50)</f>
        <v>14.090399999999999</v>
      </c>
      <c r="AG50" s="150">
        <f>(0.35*I50)+(0.2*K50)+(0.15*O50)+(0.15+X50)+(0.15+W50)</f>
        <v>8.5849999999999991</v>
      </c>
      <c r="AH50" s="297">
        <f>(AE50*0.4)+(AF50*0.3)+(AG50*0.3)</f>
        <v>19.61862</v>
      </c>
      <c r="AI50" s="3" t="s">
        <v>345</v>
      </c>
    </row>
    <row r="51" spans="1:35" ht="15" thickBot="1" x14ac:dyDescent="0.35">
      <c r="A51" s="2" t="s">
        <v>52</v>
      </c>
      <c r="B51" s="3" t="s">
        <v>145</v>
      </c>
      <c r="C51" s="3" t="s">
        <v>146</v>
      </c>
      <c r="D51" s="3" t="s">
        <v>147</v>
      </c>
      <c r="E51" s="3">
        <v>19</v>
      </c>
      <c r="F51" s="2">
        <v>59.3</v>
      </c>
      <c r="G51" s="58">
        <v>5</v>
      </c>
      <c r="H51" s="5">
        <v>4.7</v>
      </c>
      <c r="I51" s="5">
        <v>10.6</v>
      </c>
      <c r="J51" s="10">
        <v>7.1</v>
      </c>
      <c r="K51" s="63">
        <v>3.5</v>
      </c>
      <c r="L51" s="10">
        <v>128.1</v>
      </c>
      <c r="M51" s="3">
        <f t="shared" si="2"/>
        <v>71.099999999999994</v>
      </c>
      <c r="N51" s="18">
        <v>87.2</v>
      </c>
      <c r="O51" s="3">
        <f>100-(_xlfn.PERCENTRANK.INC($N$2:$N$151,N51)*100)</f>
        <v>94</v>
      </c>
      <c r="P51" s="145">
        <v>26.2</v>
      </c>
      <c r="Q51" s="145">
        <v>58</v>
      </c>
      <c r="R51" s="63">
        <v>62</v>
      </c>
      <c r="S51" s="174">
        <v>8.3000000000000007</v>
      </c>
      <c r="T51" s="17">
        <v>22.8</v>
      </c>
      <c r="U51" s="2">
        <v>15.3</v>
      </c>
      <c r="V51" s="189">
        <v>10.4</v>
      </c>
      <c r="W51" s="2">
        <v>2.7</v>
      </c>
      <c r="X51" s="147">
        <v>1.1000000000000001</v>
      </c>
      <c r="Y51" s="14">
        <v>42.9</v>
      </c>
      <c r="Z51" s="14">
        <v>3.4</v>
      </c>
      <c r="AA51" s="150">
        <v>77.5</v>
      </c>
      <c r="AB51" s="150">
        <v>59.099999999999994</v>
      </c>
      <c r="AC51" s="14">
        <v>3.5</v>
      </c>
      <c r="AD51" s="150">
        <v>34.300000000000004</v>
      </c>
      <c r="AE51" s="150">
        <f>(0.3*P51)+(0.25*R51)+(0.2*G51)+(0.15*U51)+(0.1*Y51)</f>
        <v>30.945</v>
      </c>
      <c r="AF51" s="150">
        <f>((U51+G51)-V51)*_xlfn.PERCENTRANK.INC($V$2:$V$151,V51)</f>
        <v>2.1185999999999998</v>
      </c>
      <c r="AG51" s="150">
        <f>(0.35*I51)+(0.2*K51)+(0.15*O51)+(0.15+X51)+(0.15+W51)</f>
        <v>22.61</v>
      </c>
      <c r="AH51" s="297">
        <f>(AE51*0.4)+(AF51*0.3)+(AG51*0.3)</f>
        <v>19.796579999999999</v>
      </c>
      <c r="AI51" s="3" t="s">
        <v>345</v>
      </c>
    </row>
    <row r="52" spans="1:35" ht="15" thickBot="1" x14ac:dyDescent="0.35">
      <c r="A52" s="2" t="s">
        <v>34</v>
      </c>
      <c r="B52" s="3" t="s">
        <v>148</v>
      </c>
      <c r="C52" s="3" t="s">
        <v>149</v>
      </c>
      <c r="D52" s="3" t="s">
        <v>51</v>
      </c>
      <c r="E52" s="3">
        <v>16</v>
      </c>
      <c r="F52" s="2">
        <v>53</v>
      </c>
      <c r="G52" s="151">
        <v>4.4000000000000004</v>
      </c>
      <c r="H52" s="2">
        <v>2.6</v>
      </c>
      <c r="I52" s="79">
        <v>6.4</v>
      </c>
      <c r="J52" s="10">
        <v>6</v>
      </c>
      <c r="K52" s="2">
        <v>0.4</v>
      </c>
      <c r="L52" s="17">
        <v>123.1</v>
      </c>
      <c r="M52" s="3">
        <f t="shared" si="2"/>
        <v>43.6</v>
      </c>
      <c r="N52" s="231">
        <v>108.8</v>
      </c>
      <c r="O52" s="3">
        <f>100-(_xlfn.PERCENTRANK.INC($N$2:$N$151,N52)*100)</f>
        <v>19.5</v>
      </c>
      <c r="P52" s="7">
        <v>26.9</v>
      </c>
      <c r="Q52" s="2">
        <v>49.4</v>
      </c>
      <c r="R52" s="2">
        <v>56</v>
      </c>
      <c r="S52" s="193">
        <v>1.3</v>
      </c>
      <c r="T52" s="152">
        <v>8.5</v>
      </c>
      <c r="U52" s="5">
        <v>41.8</v>
      </c>
      <c r="V52" s="12">
        <v>11.8</v>
      </c>
      <c r="W52" s="2">
        <v>0.9</v>
      </c>
      <c r="X52" s="2">
        <v>1.8</v>
      </c>
      <c r="Y52" s="14">
        <v>43.1</v>
      </c>
      <c r="Z52" s="232">
        <v>2</v>
      </c>
      <c r="AA52" s="150">
        <v>83.3</v>
      </c>
      <c r="AB52" s="150">
        <v>50.7</v>
      </c>
      <c r="AC52" s="14">
        <v>5.2</v>
      </c>
      <c r="AD52" s="150">
        <v>30.2</v>
      </c>
      <c r="AE52" s="150">
        <f>(0.3*P52)+(0.25*R52)+(0.2*G52)+(0.15*U52)+(0.1*Y52)</f>
        <v>33.53</v>
      </c>
      <c r="AF52" s="150">
        <f>((U52+G52)-V52)*_xlfn.PERCENTRANK.INC($V$2:$V$151,V52)</f>
        <v>10.595199999999997</v>
      </c>
      <c r="AG52" s="150">
        <f>(0.35*I52)+(0.2*K52)+(0.15*O52)+(0.15+X52)+(0.15+W52)</f>
        <v>8.2449999999999992</v>
      </c>
      <c r="AH52" s="297">
        <f>(AE52*0.4)+(AF52*0.3)+(AG52*0.3)</f>
        <v>19.064059999999998</v>
      </c>
      <c r="AI52" s="3" t="s">
        <v>345</v>
      </c>
    </row>
    <row r="53" spans="1:35" ht="15" thickBot="1" x14ac:dyDescent="0.35">
      <c r="A53" s="2" t="s">
        <v>48</v>
      </c>
      <c r="B53" s="3" t="s">
        <v>150</v>
      </c>
      <c r="C53" s="3" t="s">
        <v>151</v>
      </c>
      <c r="D53" s="3" t="s">
        <v>51</v>
      </c>
      <c r="E53" s="3">
        <v>22</v>
      </c>
      <c r="F53" s="2">
        <v>83.9</v>
      </c>
      <c r="G53" s="4">
        <v>5.7</v>
      </c>
      <c r="H53" s="20">
        <v>3.4</v>
      </c>
      <c r="I53" s="17">
        <v>8.1</v>
      </c>
      <c r="J53" s="5">
        <v>8</v>
      </c>
      <c r="K53" s="2">
        <v>0.2</v>
      </c>
      <c r="L53" s="17">
        <v>124.9</v>
      </c>
      <c r="M53" s="3">
        <f t="shared" si="2"/>
        <v>56.3</v>
      </c>
      <c r="N53" s="2">
        <v>105.3</v>
      </c>
      <c r="O53" s="3">
        <f>100-(_xlfn.PERCENTRANK.INC($N$2:$N$151,N53)*100)</f>
        <v>30.300000000000011</v>
      </c>
      <c r="P53" s="63">
        <v>27.2</v>
      </c>
      <c r="Q53" s="61">
        <v>56.6</v>
      </c>
      <c r="R53" s="80">
        <v>59.8</v>
      </c>
      <c r="S53" s="183">
        <v>1.6</v>
      </c>
      <c r="T53" s="21">
        <v>7.8</v>
      </c>
      <c r="U53" s="10">
        <v>32.799999999999997</v>
      </c>
      <c r="V53" s="233">
        <v>12.4</v>
      </c>
      <c r="W53" s="2">
        <v>1.5</v>
      </c>
      <c r="X53" s="66">
        <v>1.3</v>
      </c>
      <c r="Y53" s="14">
        <v>31</v>
      </c>
      <c r="Z53" s="177">
        <v>1.9</v>
      </c>
      <c r="AA53" s="150">
        <v>77.2</v>
      </c>
      <c r="AB53" s="150">
        <v>53.900000000000006</v>
      </c>
      <c r="AC53" s="166">
        <v>9</v>
      </c>
      <c r="AD53" s="150">
        <v>40.799999999999997</v>
      </c>
      <c r="AE53" s="150">
        <f>(0.3*P53)+(0.25*R53)+(0.2*G53)+(0.15*U53)+(0.1*Y53)</f>
        <v>32.269999999999996</v>
      </c>
      <c r="AF53" s="150">
        <f>((U53+G53)-V53)*_xlfn.PERCENTRANK.INC($V$2:$V$151,V53)</f>
        <v>9.9702000000000002</v>
      </c>
      <c r="AG53" s="150">
        <f>(0.35*I53)+(0.2*K53)+(0.15*O53)+(0.15+X53)+(0.15+W53)</f>
        <v>10.520000000000001</v>
      </c>
      <c r="AH53" s="297">
        <f>(AE53*0.4)+(AF53*0.3)+(AG53*0.3)</f>
        <v>19.055059999999997</v>
      </c>
      <c r="AI53" s="3" t="s">
        <v>345</v>
      </c>
    </row>
    <row r="54" spans="1:35" ht="15" thickBot="1" x14ac:dyDescent="0.35">
      <c r="A54" s="2" t="s">
        <v>34</v>
      </c>
      <c r="B54" s="3" t="s">
        <v>152</v>
      </c>
      <c r="C54" s="3" t="s">
        <v>137</v>
      </c>
      <c r="D54" s="3" t="s">
        <v>62</v>
      </c>
      <c r="E54" s="3">
        <v>22</v>
      </c>
      <c r="F54" s="2">
        <v>68.900000000000006</v>
      </c>
      <c r="G54" s="151">
        <v>4.5</v>
      </c>
      <c r="H54" s="6">
        <v>3.4</v>
      </c>
      <c r="I54" s="10">
        <v>8.8000000000000007</v>
      </c>
      <c r="J54" s="10">
        <v>6.8</v>
      </c>
      <c r="K54" s="179">
        <v>1.9</v>
      </c>
      <c r="L54" s="11">
        <v>122</v>
      </c>
      <c r="M54" s="3">
        <f t="shared" si="2"/>
        <v>40.200000000000003</v>
      </c>
      <c r="N54" s="214">
        <v>98.1</v>
      </c>
      <c r="O54" s="3">
        <f>100-(_xlfn.PERCENTRANK.INC($N$2:$N$151,N54)*100)</f>
        <v>60.5</v>
      </c>
      <c r="P54" s="10">
        <v>30.5</v>
      </c>
      <c r="Q54" s="79">
        <v>60.4</v>
      </c>
      <c r="R54" s="17">
        <v>64.7</v>
      </c>
      <c r="S54" s="145">
        <v>10.3</v>
      </c>
      <c r="T54" s="179">
        <v>16.7</v>
      </c>
      <c r="U54" s="2">
        <v>16</v>
      </c>
      <c r="V54" s="2">
        <v>17.3</v>
      </c>
      <c r="W54" s="174">
        <v>3.6</v>
      </c>
      <c r="X54" s="2">
        <v>1.6</v>
      </c>
      <c r="Y54" s="14">
        <v>44.4</v>
      </c>
      <c r="Z54" s="181">
        <v>3.7</v>
      </c>
      <c r="AA54" s="150">
        <v>80.600000000000009</v>
      </c>
      <c r="AB54" s="150">
        <v>62.2</v>
      </c>
      <c r="AC54" s="14">
        <v>4.5</v>
      </c>
      <c r="AD54" s="150">
        <v>34.699999999999996</v>
      </c>
      <c r="AE54" s="150">
        <f>(0.3*P54)+(0.25*R54)+(0.2*G54)+(0.15*U54)+(0.1*Y54)</f>
        <v>33.064999999999998</v>
      </c>
      <c r="AF54" s="150">
        <f>((U54+G54)-V54)*_xlfn.PERCENTRANK.INC($V$2:$V$151,V54)</f>
        <v>2.6815999999999991</v>
      </c>
      <c r="AG54" s="150">
        <f>(0.35*I54)+(0.2*K54)+(0.15*O54)+(0.15+X54)+(0.15+W54)</f>
        <v>18.035</v>
      </c>
      <c r="AH54" s="297">
        <f>(AE54*0.4)+(AF54*0.3)+(AG54*0.3)</f>
        <v>19.44098</v>
      </c>
      <c r="AI54" s="3" t="s">
        <v>345</v>
      </c>
    </row>
    <row r="55" spans="1:35" ht="15" thickBot="1" x14ac:dyDescent="0.35">
      <c r="A55" s="2" t="s">
        <v>41</v>
      </c>
      <c r="B55" s="3" t="s">
        <v>153</v>
      </c>
      <c r="C55" s="3" t="s">
        <v>154</v>
      </c>
      <c r="D55" s="3" t="s">
        <v>147</v>
      </c>
      <c r="E55" s="3">
        <v>22</v>
      </c>
      <c r="F55" s="2">
        <v>90.2</v>
      </c>
      <c r="G55" s="158">
        <v>3.9</v>
      </c>
      <c r="H55" s="10">
        <v>4.3</v>
      </c>
      <c r="I55" s="6">
        <v>5.2</v>
      </c>
      <c r="J55" s="72">
        <v>2.6</v>
      </c>
      <c r="K55" s="80">
        <v>2.6</v>
      </c>
      <c r="L55" s="79">
        <v>120.3</v>
      </c>
      <c r="M55" s="3">
        <f t="shared" si="2"/>
        <v>28.1</v>
      </c>
      <c r="N55" s="2">
        <v>99.5</v>
      </c>
      <c r="O55" s="3">
        <f>100-(_xlfn.PERCENTRANK.INC($N$2:$N$151,N55)*100)</f>
        <v>55.8</v>
      </c>
      <c r="P55" s="2">
        <v>19.2</v>
      </c>
      <c r="Q55" s="179">
        <v>55.2</v>
      </c>
      <c r="R55" s="63">
        <v>62</v>
      </c>
      <c r="S55" s="186">
        <v>1.1000000000000001</v>
      </c>
      <c r="T55" s="183">
        <v>7.5</v>
      </c>
      <c r="U55" s="79">
        <v>27.9</v>
      </c>
      <c r="V55" s="2">
        <v>21.4</v>
      </c>
      <c r="W55" s="162">
        <v>0.3</v>
      </c>
      <c r="X55" s="19">
        <v>2.6</v>
      </c>
      <c r="Y55" s="14">
        <v>39.4</v>
      </c>
      <c r="Z55" s="207">
        <v>2.2000000000000002</v>
      </c>
      <c r="AA55" s="150">
        <v>93.4</v>
      </c>
      <c r="AB55" s="150">
        <v>58.8</v>
      </c>
      <c r="AC55" s="14">
        <v>6.9</v>
      </c>
      <c r="AD55" s="150">
        <v>34.1</v>
      </c>
      <c r="AE55" s="150">
        <f>(0.3*P55)+(0.25*R55)+(0.2*G55)+(0.15*U55)+(0.1*Y55)</f>
        <v>30.164999999999999</v>
      </c>
      <c r="AF55" s="150">
        <f>((U55+G55)-V55)*_xlfn.PERCENTRANK.INC($V$2:$V$151,V55)</f>
        <v>10.327199999999998</v>
      </c>
      <c r="AG55" s="150">
        <f>(0.35*I55)+(0.2*K55)+(0.15*O55)+(0.15+X55)+(0.15+W55)</f>
        <v>13.909999999999998</v>
      </c>
      <c r="AH55" s="297">
        <f>(AE55*0.4)+(AF55*0.3)+(AG55*0.3)</f>
        <v>19.337159999999997</v>
      </c>
      <c r="AI55" s="3" t="s">
        <v>345</v>
      </c>
    </row>
    <row r="56" spans="1:35" ht="15" thickBot="1" x14ac:dyDescent="0.35">
      <c r="A56" s="2" t="s">
        <v>52</v>
      </c>
      <c r="B56" s="3" t="s">
        <v>155</v>
      </c>
      <c r="C56" s="3" t="s">
        <v>106</v>
      </c>
      <c r="D56" s="3" t="s">
        <v>62</v>
      </c>
      <c r="E56" s="3">
        <v>22</v>
      </c>
      <c r="F56" s="2">
        <v>84.8</v>
      </c>
      <c r="G56" s="198">
        <v>4.0999999999999996</v>
      </c>
      <c r="H56" s="10">
        <v>4.4000000000000004</v>
      </c>
      <c r="I56" s="17">
        <v>8.1</v>
      </c>
      <c r="J56" s="59">
        <v>4.4000000000000004</v>
      </c>
      <c r="K56" s="59">
        <v>3.7</v>
      </c>
      <c r="L56" s="79">
        <v>120.7</v>
      </c>
      <c r="M56" s="3">
        <f t="shared" si="2"/>
        <v>31.5</v>
      </c>
      <c r="N56" s="201">
        <v>97</v>
      </c>
      <c r="O56" s="3">
        <f>100-(_xlfn.PERCENTRANK.INC($N$2:$N$151,N56)*100)</f>
        <v>65.2</v>
      </c>
      <c r="P56" s="2">
        <v>20.2</v>
      </c>
      <c r="Q56" s="206">
        <v>55.8</v>
      </c>
      <c r="R56" s="175">
        <v>58.6</v>
      </c>
      <c r="S56" s="2">
        <v>4.5999999999999996</v>
      </c>
      <c r="T56" s="2">
        <v>14.7</v>
      </c>
      <c r="U56" s="180">
        <v>23.2</v>
      </c>
      <c r="V56" s="2">
        <v>16.8</v>
      </c>
      <c r="W56" s="2">
        <v>0.6</v>
      </c>
      <c r="X56" s="5">
        <v>4.0999999999999996</v>
      </c>
      <c r="Y56" s="234">
        <v>28.1</v>
      </c>
      <c r="Z56" s="207">
        <v>2.2000000000000002</v>
      </c>
      <c r="AA56" s="150">
        <v>75.400000000000006</v>
      </c>
      <c r="AB56" s="150">
        <v>56.100000000000009</v>
      </c>
      <c r="AC56" s="14">
        <v>6.8</v>
      </c>
      <c r="AD56" s="150">
        <v>37</v>
      </c>
      <c r="AE56" s="150">
        <f>(0.3*P56)+(0.25*R56)+(0.2*G56)+(0.15*U56)+(0.1*Y56)</f>
        <v>27.82</v>
      </c>
      <c r="AF56" s="150">
        <f>((U56+G56)-V56)*_xlfn.PERCENTRANK.INC($V$2:$V$151,V56)</f>
        <v>8.5889999999999969</v>
      </c>
      <c r="AG56" s="150">
        <f>(0.35*I56)+(0.2*K56)+(0.15*O56)+(0.15+X56)+(0.15+W56)</f>
        <v>18.354999999999997</v>
      </c>
      <c r="AH56" s="297">
        <f>(AE56*0.4)+(AF56*0.3)+(AG56*0.3)</f>
        <v>19.211199999999998</v>
      </c>
      <c r="AI56" s="3" t="s">
        <v>345</v>
      </c>
    </row>
    <row r="57" spans="1:35" ht="15" thickBot="1" x14ac:dyDescent="0.35">
      <c r="A57" s="2" t="s">
        <v>34</v>
      </c>
      <c r="B57" s="3" t="s">
        <v>156</v>
      </c>
      <c r="C57" s="3" t="s">
        <v>157</v>
      </c>
      <c r="D57" s="3" t="s">
        <v>40</v>
      </c>
      <c r="E57" s="3">
        <v>20</v>
      </c>
      <c r="F57" s="2">
        <v>85.6</v>
      </c>
      <c r="G57" s="212">
        <v>3.8</v>
      </c>
      <c r="H57" s="2">
        <v>2.2000000000000002</v>
      </c>
      <c r="I57" s="2">
        <v>1.3</v>
      </c>
      <c r="J57" s="80">
        <v>2.8</v>
      </c>
      <c r="K57" s="65">
        <v>-1.5</v>
      </c>
      <c r="L57" s="20">
        <v>115.8</v>
      </c>
      <c r="M57" s="3">
        <f t="shared" si="2"/>
        <v>8.6999999999999993</v>
      </c>
      <c r="N57" s="235">
        <v>115.7</v>
      </c>
      <c r="O57" s="3">
        <f>100-(_xlfn.PERCENTRANK.INC($N$2:$N$151,N57)*100)</f>
        <v>2.7000000000000028</v>
      </c>
      <c r="P57" s="17">
        <v>29.2</v>
      </c>
      <c r="Q57" s="2">
        <v>47</v>
      </c>
      <c r="R57" s="223">
        <v>57.4</v>
      </c>
      <c r="S57" s="64">
        <v>2.5</v>
      </c>
      <c r="T57" s="165">
        <v>6.6</v>
      </c>
      <c r="U57" s="17">
        <v>29.8</v>
      </c>
      <c r="V57" s="2">
        <v>17.8</v>
      </c>
      <c r="W57" s="162">
        <v>0.3</v>
      </c>
      <c r="X57" s="2">
        <v>2.1</v>
      </c>
      <c r="Y57" s="197">
        <v>69.400000000000006</v>
      </c>
      <c r="Z57" s="210">
        <v>2.4</v>
      </c>
      <c r="AA57" s="150">
        <v>84.6</v>
      </c>
      <c r="AB57" s="150">
        <v>48</v>
      </c>
      <c r="AC57" s="14">
        <v>6.3</v>
      </c>
      <c r="AD57" s="150">
        <v>29.9</v>
      </c>
      <c r="AE57" s="150">
        <f>(0.3*P57)+(0.25*R57)+(0.2*G57)+(0.15*U57)+(0.1*Y57)</f>
        <v>35.28</v>
      </c>
      <c r="AF57" s="150">
        <f>((U57+G57)-V57)*_xlfn.PERCENTRANK.INC($V$2:$V$151,V57)</f>
        <v>13.983000000000001</v>
      </c>
      <c r="AG57" s="150">
        <f>(0.35*I57)+(0.2*K57)+(0.15*O57)+(0.15+X57)+(0.15+W57)</f>
        <v>3.2600000000000007</v>
      </c>
      <c r="AH57" s="297">
        <f>(AE57*0.4)+(AF57*0.3)+(AG57*0.3)</f>
        <v>19.284900000000004</v>
      </c>
      <c r="AI57" s="3" t="s">
        <v>345</v>
      </c>
    </row>
    <row r="58" spans="1:35" ht="15" thickBot="1" x14ac:dyDescent="0.35">
      <c r="A58" s="2" t="s">
        <v>52</v>
      </c>
      <c r="B58" s="3" t="s">
        <v>158</v>
      </c>
      <c r="C58" s="3" t="s">
        <v>159</v>
      </c>
      <c r="D58" s="3" t="s">
        <v>80</v>
      </c>
      <c r="E58" s="3">
        <v>22</v>
      </c>
      <c r="F58" s="2">
        <v>74.5</v>
      </c>
      <c r="G58" s="212">
        <v>3.8</v>
      </c>
      <c r="H58" s="7">
        <v>3.5</v>
      </c>
      <c r="I58" s="11">
        <v>7.3</v>
      </c>
      <c r="J58" s="17">
        <v>5.3</v>
      </c>
      <c r="K58" s="179">
        <v>2</v>
      </c>
      <c r="L58" s="72">
        <v>113.7</v>
      </c>
      <c r="M58" s="3">
        <f t="shared" si="2"/>
        <v>4.5999999999999996</v>
      </c>
      <c r="N58" s="2">
        <v>100</v>
      </c>
      <c r="O58" s="3">
        <f>100-(_xlfn.PERCENTRANK.INC($N$2:$N$151,N58)*100)</f>
        <v>53.1</v>
      </c>
      <c r="P58" s="59">
        <v>27.5</v>
      </c>
      <c r="Q58" s="2">
        <v>52.2</v>
      </c>
      <c r="R58" s="206">
        <v>58.9</v>
      </c>
      <c r="S58" s="194">
        <v>2.2000000000000002</v>
      </c>
      <c r="T58" s="2">
        <v>12.5</v>
      </c>
      <c r="U58" s="19">
        <v>20.3</v>
      </c>
      <c r="V58" s="2">
        <v>16.7</v>
      </c>
      <c r="W58" s="20">
        <v>4.7</v>
      </c>
      <c r="X58" s="66">
        <v>1.3</v>
      </c>
      <c r="Y58" s="14">
        <v>38.1</v>
      </c>
      <c r="Z58" s="14">
        <v>3.4</v>
      </c>
      <c r="AA58" s="150">
        <v>91</v>
      </c>
      <c r="AB58" s="150">
        <v>49.7</v>
      </c>
      <c r="AC58" s="236">
        <v>11.4</v>
      </c>
      <c r="AD58" s="150">
        <v>36.799999999999997</v>
      </c>
      <c r="AE58" s="150">
        <f>(0.3*P58)+(0.25*R58)+(0.2*G58)+(0.15*U58)+(0.1*Y58)</f>
        <v>30.590000000000003</v>
      </c>
      <c r="AF58" s="150">
        <f>((U58+G58)-V58)*_xlfn.PERCENTRANK.INC($V$2:$V$151,V58)</f>
        <v>5.9052000000000024</v>
      </c>
      <c r="AG58" s="150">
        <f>(0.35*I58)+(0.2*K58)+(0.15*O58)+(0.15+X58)+(0.15+W58)</f>
        <v>17.22</v>
      </c>
      <c r="AH58" s="297">
        <f>(AE58*0.4)+(AF58*0.3)+(AG58*0.3)</f>
        <v>19.173560000000002</v>
      </c>
      <c r="AI58" s="3" t="s">
        <v>345</v>
      </c>
    </row>
    <row r="59" spans="1:35" ht="15" thickBot="1" x14ac:dyDescent="0.35">
      <c r="A59" s="2" t="s">
        <v>41</v>
      </c>
      <c r="B59" s="3" t="s">
        <v>160</v>
      </c>
      <c r="C59" s="3" t="s">
        <v>161</v>
      </c>
      <c r="D59" s="3" t="s">
        <v>162</v>
      </c>
      <c r="E59" s="3">
        <v>23</v>
      </c>
      <c r="F59" s="2">
        <v>72.400000000000006</v>
      </c>
      <c r="G59" s="212">
        <v>3.7</v>
      </c>
      <c r="H59" s="145">
        <v>3.4</v>
      </c>
      <c r="I59" s="10">
        <v>8.6</v>
      </c>
      <c r="J59" s="11">
        <v>4.9000000000000004</v>
      </c>
      <c r="K59" s="59">
        <v>3.8</v>
      </c>
      <c r="L59" s="63">
        <v>118.4</v>
      </c>
      <c r="M59" s="3">
        <f t="shared" si="2"/>
        <v>19.400000000000002</v>
      </c>
      <c r="N59" s="2">
        <v>100.7</v>
      </c>
      <c r="O59" s="3">
        <f>100-(_xlfn.PERCENTRANK.INC($N$2:$N$151,N59)*100)</f>
        <v>50.4</v>
      </c>
      <c r="P59" s="63">
        <v>27.4</v>
      </c>
      <c r="Q59" s="2">
        <v>48.9</v>
      </c>
      <c r="R59" s="2">
        <v>55.8</v>
      </c>
      <c r="S59" s="2">
        <v>4.2</v>
      </c>
      <c r="T59" s="2">
        <v>12.6</v>
      </c>
      <c r="U59" s="7">
        <v>25.4</v>
      </c>
      <c r="V59" s="82">
        <v>9.4</v>
      </c>
      <c r="W59" s="66">
        <v>0.2</v>
      </c>
      <c r="X59" s="5">
        <v>5.4</v>
      </c>
      <c r="Y59" s="205">
        <v>56.3</v>
      </c>
      <c r="Z59" s="14">
        <v>2.9</v>
      </c>
      <c r="AA59" s="150">
        <v>77.7</v>
      </c>
      <c r="AB59" s="150">
        <v>45.1</v>
      </c>
      <c r="AC59" s="14">
        <v>7.5</v>
      </c>
      <c r="AD59" s="150">
        <v>37.5</v>
      </c>
      <c r="AE59" s="150">
        <f>(0.3*P59)+(0.25*R59)+(0.2*G59)+(0.15*U59)+(0.1*Y59)</f>
        <v>32.349999999999994</v>
      </c>
      <c r="AF59" s="150">
        <f>((U59+G59)-V59)*_xlfn.PERCENTRANK.INC($V$2:$V$151,V59)</f>
        <v>2.8958999999999993</v>
      </c>
      <c r="AG59" s="150">
        <f>(0.35*I59)+(0.2*K59)+(0.15*O59)+(0.15+X59)+(0.15+W59)</f>
        <v>17.23</v>
      </c>
      <c r="AH59" s="297">
        <f>(AE59*0.4)+(AF59*0.3)+(AG59*0.3)</f>
        <v>18.977769999999996</v>
      </c>
      <c r="AI59" s="3" t="s">
        <v>345</v>
      </c>
    </row>
    <row r="60" spans="1:35" ht="15" thickBot="1" x14ac:dyDescent="0.35">
      <c r="A60" s="2" t="s">
        <v>52</v>
      </c>
      <c r="B60" s="3" t="s">
        <v>163</v>
      </c>
      <c r="C60" s="3" t="s">
        <v>164</v>
      </c>
      <c r="D60" s="3" t="s">
        <v>165</v>
      </c>
      <c r="E60" s="3">
        <v>23</v>
      </c>
      <c r="F60" s="2">
        <v>89.9</v>
      </c>
      <c r="G60" s="198">
        <v>4</v>
      </c>
      <c r="H60" s="2">
        <v>2.4</v>
      </c>
      <c r="I60" s="124">
        <v>2.2000000000000002</v>
      </c>
      <c r="J60" s="6">
        <v>3.6</v>
      </c>
      <c r="K60" s="13">
        <v>-1.4</v>
      </c>
      <c r="L60" s="63">
        <v>118.5</v>
      </c>
      <c r="M60" s="3">
        <f t="shared" si="2"/>
        <v>20.100000000000001</v>
      </c>
      <c r="N60" s="237">
        <v>115.1</v>
      </c>
      <c r="O60" s="3">
        <f>100-(_xlfn.PERCENTRANK.INC($N$2:$N$151,N60)*100)</f>
        <v>4.1000000000000085</v>
      </c>
      <c r="P60" s="81">
        <v>23.1</v>
      </c>
      <c r="Q60" s="2">
        <v>50.4</v>
      </c>
      <c r="R60" s="72">
        <v>59.4</v>
      </c>
      <c r="S60" s="209">
        <v>0.7</v>
      </c>
      <c r="T60" s="160">
        <v>7.2</v>
      </c>
      <c r="U60" s="17">
        <v>29.4</v>
      </c>
      <c r="V60" s="148">
        <v>16.2</v>
      </c>
      <c r="W60" s="64">
        <v>0.1</v>
      </c>
      <c r="X60" s="2">
        <v>2.2000000000000002</v>
      </c>
      <c r="Y60" s="132">
        <v>83.5</v>
      </c>
      <c r="Z60" s="238">
        <v>1.7</v>
      </c>
      <c r="AA60" s="150">
        <v>77.7</v>
      </c>
      <c r="AB60" s="150">
        <v>44.800000000000004</v>
      </c>
      <c r="AC60" s="16">
        <v>9</v>
      </c>
      <c r="AD60" s="150">
        <v>36.299999999999997</v>
      </c>
      <c r="AE60" s="150">
        <f>(0.3*P60)+(0.25*R60)+(0.2*G60)+(0.15*U60)+(0.1*Y60)</f>
        <v>35.340000000000003</v>
      </c>
      <c r="AF60" s="150">
        <f>((U60+G60)-V60)*_xlfn.PERCENTRANK.INC($V$2:$V$151,V60)</f>
        <v>12.796799999999999</v>
      </c>
      <c r="AG60" s="150">
        <f>(0.35*I60)+(0.2*K60)+(0.15*O60)+(0.15+X60)+(0.15+W60)</f>
        <v>3.7050000000000014</v>
      </c>
      <c r="AH60" s="297">
        <f>(AE60*0.4)+(AF60*0.3)+(AG60*0.3)</f>
        <v>19.086540000000003</v>
      </c>
      <c r="AI60" s="3" t="s">
        <v>345</v>
      </c>
    </row>
    <row r="61" spans="1:35" ht="15" thickBot="1" x14ac:dyDescent="0.35">
      <c r="A61" s="2" t="s">
        <v>52</v>
      </c>
      <c r="B61" s="3" t="s">
        <v>166</v>
      </c>
      <c r="C61" s="3" t="s">
        <v>93</v>
      </c>
      <c r="D61" s="3" t="s">
        <v>75</v>
      </c>
      <c r="E61" s="3">
        <v>19</v>
      </c>
      <c r="F61" s="2">
        <v>66.3</v>
      </c>
      <c r="G61" s="58">
        <v>4.9000000000000004</v>
      </c>
      <c r="H61" s="5">
        <v>4.7</v>
      </c>
      <c r="I61" s="5">
        <v>11</v>
      </c>
      <c r="J61" s="17">
        <v>5.5</v>
      </c>
      <c r="K61" s="10">
        <v>5.4</v>
      </c>
      <c r="L61" s="5">
        <v>130.1</v>
      </c>
      <c r="M61" s="3">
        <f t="shared" si="2"/>
        <v>79.100000000000009</v>
      </c>
      <c r="N61" s="171">
        <v>89.8</v>
      </c>
      <c r="O61" s="3">
        <f>100-(_xlfn.PERCENTRANK.INC($N$2:$N$151,N61)*100)</f>
        <v>87.3</v>
      </c>
      <c r="P61" s="2">
        <v>21.8</v>
      </c>
      <c r="Q61" s="2">
        <v>52.5</v>
      </c>
      <c r="R61" s="2">
        <v>55</v>
      </c>
      <c r="S61" s="2">
        <v>5.3</v>
      </c>
      <c r="T61" s="2">
        <v>9.8000000000000007</v>
      </c>
      <c r="U61" s="17">
        <v>29.4</v>
      </c>
      <c r="V61" s="18">
        <v>9</v>
      </c>
      <c r="W61" s="66">
        <v>0.2</v>
      </c>
      <c r="X61" s="5">
        <v>4.4000000000000004</v>
      </c>
      <c r="Y61" s="234">
        <v>27.9</v>
      </c>
      <c r="Z61" s="207">
        <v>2.2000000000000002</v>
      </c>
      <c r="AA61" s="150">
        <v>70.199999999999989</v>
      </c>
      <c r="AB61" s="150">
        <v>55.800000000000004</v>
      </c>
      <c r="AC61" s="14">
        <v>6.5</v>
      </c>
      <c r="AD61" s="150">
        <v>30.3</v>
      </c>
      <c r="AE61" s="150">
        <f>(0.3*P61)+(0.25*R61)+(0.2*G61)+(0.15*U61)+(0.1*Y61)</f>
        <v>28.47</v>
      </c>
      <c r="AF61" s="150">
        <f>((U61+G61)-V61)*_xlfn.PERCENTRANK.INC($V$2:$V$151,V61)</f>
        <v>2.3528999999999995</v>
      </c>
      <c r="AG61" s="150">
        <f>(0.35*I61)+(0.2*K61)+(0.15*O61)+(0.15+X61)+(0.15+W61)</f>
        <v>22.925000000000001</v>
      </c>
      <c r="AH61" s="297">
        <f>(AE61*0.4)+(AF61*0.3)+(AG61*0.3)</f>
        <v>18.97137</v>
      </c>
      <c r="AI61" s="3" t="s">
        <v>345</v>
      </c>
    </row>
    <row r="62" spans="1:35" ht="15" thickBot="1" x14ac:dyDescent="0.35">
      <c r="A62" s="2" t="s">
        <v>34</v>
      </c>
      <c r="B62" s="3" t="s">
        <v>167</v>
      </c>
      <c r="C62" s="3" t="s">
        <v>103</v>
      </c>
      <c r="D62" s="3" t="s">
        <v>62</v>
      </c>
      <c r="E62" s="3">
        <v>22</v>
      </c>
      <c r="F62" s="2">
        <v>76.900000000000006</v>
      </c>
      <c r="G62" s="58">
        <v>4.8</v>
      </c>
      <c r="H62" s="10">
        <v>4.2</v>
      </c>
      <c r="I62" s="10">
        <v>9.9</v>
      </c>
      <c r="J62" s="10">
        <v>6.8</v>
      </c>
      <c r="K62" s="145">
        <v>3.1</v>
      </c>
      <c r="L62" s="10">
        <v>129</v>
      </c>
      <c r="M62" s="3">
        <f t="shared" si="2"/>
        <v>77.8</v>
      </c>
      <c r="N62" s="239">
        <v>94.7</v>
      </c>
      <c r="O62" s="3">
        <f>100-(_xlfn.PERCENTRANK.INC($N$2:$N$151,N62)*100)</f>
        <v>73.2</v>
      </c>
      <c r="P62" s="2">
        <v>22</v>
      </c>
      <c r="Q62" s="5">
        <v>68.599999999999994</v>
      </c>
      <c r="R62" s="5">
        <v>68</v>
      </c>
      <c r="S62" s="161">
        <v>9.1</v>
      </c>
      <c r="T62" s="17">
        <v>21.9</v>
      </c>
      <c r="U62" s="2">
        <v>12.9</v>
      </c>
      <c r="V62" s="196">
        <v>13.9</v>
      </c>
      <c r="W62" s="161">
        <v>4.0999999999999996</v>
      </c>
      <c r="X62" s="146">
        <v>1.2</v>
      </c>
      <c r="Y62" s="14">
        <v>42</v>
      </c>
      <c r="Z62" s="14">
        <v>3.5</v>
      </c>
      <c r="AA62" s="150">
        <v>62.1</v>
      </c>
      <c r="AB62" s="150">
        <v>68.5</v>
      </c>
      <c r="AC62" s="14">
        <v>5.2</v>
      </c>
      <c r="AD62" s="150">
        <v>45.9</v>
      </c>
      <c r="AE62" s="150">
        <f>(0.3*P62)+(0.25*R62)+(0.2*G62)+(0.15*U62)+(0.1*Y62)</f>
        <v>30.695</v>
      </c>
      <c r="AF62" s="150">
        <f>((U62+G62)-V62)*_xlfn.PERCENTRANK.INC($V$2:$V$151,V62)</f>
        <v>2.0367999999999995</v>
      </c>
      <c r="AG62" s="150">
        <f>(0.35*I62)+(0.2*K62)+(0.15*O62)+(0.15+X62)+(0.15+W62)</f>
        <v>20.665000000000003</v>
      </c>
      <c r="AH62" s="297">
        <f>(AE62*0.4)+(AF62*0.3)+(AG62*0.3)</f>
        <v>19.088540000000002</v>
      </c>
      <c r="AI62" s="3" t="s">
        <v>345</v>
      </c>
    </row>
    <row r="63" spans="1:35" ht="15" thickBot="1" x14ac:dyDescent="0.35">
      <c r="A63" s="2" t="s">
        <v>34</v>
      </c>
      <c r="B63" s="3" t="s">
        <v>168</v>
      </c>
      <c r="C63" s="3" t="s">
        <v>169</v>
      </c>
      <c r="D63" s="3" t="s">
        <v>59</v>
      </c>
      <c r="E63" s="3">
        <v>20</v>
      </c>
      <c r="F63" s="2">
        <v>80</v>
      </c>
      <c r="G63" s="151">
        <v>4.5</v>
      </c>
      <c r="H63" s="5">
        <v>4.5</v>
      </c>
      <c r="I63" s="5">
        <v>10.4</v>
      </c>
      <c r="J63" s="10">
        <v>6.1</v>
      </c>
      <c r="K63" s="11">
        <v>4.3</v>
      </c>
      <c r="L63" s="10">
        <v>127.4</v>
      </c>
      <c r="M63" s="3">
        <f t="shared" si="2"/>
        <v>68.400000000000006</v>
      </c>
      <c r="N63" s="233">
        <v>93.5</v>
      </c>
      <c r="O63" s="3">
        <f>100-(_xlfn.PERCENTRANK.INC($N$2:$N$151,N63)*100)</f>
        <v>77.900000000000006</v>
      </c>
      <c r="P63" s="2">
        <v>21.8</v>
      </c>
      <c r="Q63" s="20">
        <v>57.8</v>
      </c>
      <c r="R63" s="7">
        <v>61.4</v>
      </c>
      <c r="S63" s="2">
        <v>5.9</v>
      </c>
      <c r="T63" s="163">
        <v>15.7</v>
      </c>
      <c r="U63" s="2">
        <v>15.2</v>
      </c>
      <c r="V63" s="9">
        <v>11.2</v>
      </c>
      <c r="W63" s="2">
        <v>1.4</v>
      </c>
      <c r="X63" s="5">
        <v>4.5</v>
      </c>
      <c r="Y63" s="14">
        <v>36.4</v>
      </c>
      <c r="Z63" s="14">
        <v>2.9</v>
      </c>
      <c r="AA63" s="150">
        <v>78</v>
      </c>
      <c r="AB63" s="150">
        <v>58.699999999999996</v>
      </c>
      <c r="AC63" s="14">
        <v>6.4</v>
      </c>
      <c r="AD63" s="150">
        <v>37.1</v>
      </c>
      <c r="AE63" s="150">
        <f>(0.3*P63)+(0.25*R63)+(0.2*G63)+(0.15*U63)+(0.1*Y63)</f>
        <v>28.71</v>
      </c>
      <c r="AF63" s="150">
        <f>((U63+G63)-V63)*_xlfn.PERCENTRANK.INC($V$2:$V$151,V63)</f>
        <v>2.1080000000000001</v>
      </c>
      <c r="AG63" s="150">
        <f>(0.35*I63)+(0.2*K63)+(0.15*O63)+(0.15+X63)+(0.15+W63)</f>
        <v>22.385000000000002</v>
      </c>
      <c r="AH63" s="297">
        <f>(AE63*0.4)+(AF63*0.3)+(AG63*0.3)</f>
        <v>18.831900000000005</v>
      </c>
      <c r="AI63" s="3" t="s">
        <v>345</v>
      </c>
    </row>
    <row r="64" spans="1:35" ht="15" thickBot="1" x14ac:dyDescent="0.35">
      <c r="A64" s="2" t="s">
        <v>48</v>
      </c>
      <c r="B64" s="3" t="s">
        <v>170</v>
      </c>
      <c r="C64" s="3" t="s">
        <v>116</v>
      </c>
      <c r="D64" s="3" t="s">
        <v>75</v>
      </c>
      <c r="E64" s="3">
        <v>22</v>
      </c>
      <c r="F64" s="2">
        <v>71.7</v>
      </c>
      <c r="G64" s="198">
        <v>4</v>
      </c>
      <c r="H64" s="5">
        <v>4.5</v>
      </c>
      <c r="I64" s="10">
        <v>9.4</v>
      </c>
      <c r="J64" s="79">
        <v>4.5999999999999996</v>
      </c>
      <c r="K64" s="17">
        <v>4.8</v>
      </c>
      <c r="L64" s="10">
        <v>126.3</v>
      </c>
      <c r="M64" s="3">
        <f t="shared" si="2"/>
        <v>61.7</v>
      </c>
      <c r="N64" s="82">
        <v>88.7</v>
      </c>
      <c r="O64" s="3">
        <f>100-(_xlfn.PERCENTRANK.INC($N$2:$N$151,N64)*100)</f>
        <v>90</v>
      </c>
      <c r="P64" s="2">
        <v>21</v>
      </c>
      <c r="Q64" s="20">
        <v>57.8</v>
      </c>
      <c r="R64" s="7">
        <v>61.4</v>
      </c>
      <c r="S64" s="21">
        <v>1.9</v>
      </c>
      <c r="T64" s="2">
        <v>14.1</v>
      </c>
      <c r="U64" s="2">
        <v>16.399999999999999</v>
      </c>
      <c r="V64" s="192">
        <v>12.8</v>
      </c>
      <c r="W64" s="2">
        <v>1</v>
      </c>
      <c r="X64" s="145">
        <v>3</v>
      </c>
      <c r="Y64" s="14">
        <v>33.299999999999997</v>
      </c>
      <c r="Z64" s="14">
        <v>3.1</v>
      </c>
      <c r="AA64" s="150">
        <v>79.7</v>
      </c>
      <c r="AB64" s="150">
        <v>59.3</v>
      </c>
      <c r="AC64" s="240">
        <v>8.4</v>
      </c>
      <c r="AD64" s="150">
        <v>37.1</v>
      </c>
      <c r="AE64" s="150">
        <f>(0.3*P64)+(0.25*R64)+(0.2*G64)+(0.15*U64)+(0.1*Y64)</f>
        <v>28.240000000000002</v>
      </c>
      <c r="AF64" s="150">
        <f>((U64+G64)-V64)*_xlfn.PERCENTRANK.INC($V$2:$V$151,V64)</f>
        <v>3.2071999999999989</v>
      </c>
      <c r="AG64" s="150">
        <f>(0.35*I64)+(0.2*K64)+(0.15*O64)+(0.15+X64)+(0.15+W64)</f>
        <v>22.049999999999997</v>
      </c>
      <c r="AH64" s="297">
        <f>(AE64*0.4)+(AF64*0.3)+(AG64*0.3)</f>
        <v>18.873159999999999</v>
      </c>
      <c r="AI64" s="3" t="s">
        <v>345</v>
      </c>
    </row>
    <row r="65" spans="1:35" ht="15" thickBot="1" x14ac:dyDescent="0.35">
      <c r="A65" s="2" t="s">
        <v>34</v>
      </c>
      <c r="B65" s="3" t="s">
        <v>171</v>
      </c>
      <c r="C65" s="3" t="s">
        <v>172</v>
      </c>
      <c r="D65" s="3" t="s">
        <v>59</v>
      </c>
      <c r="E65" s="3">
        <v>17</v>
      </c>
      <c r="F65" s="2">
        <v>66.5</v>
      </c>
      <c r="G65" s="58">
        <v>4.8</v>
      </c>
      <c r="H65" s="2">
        <v>2.1</v>
      </c>
      <c r="I65" s="180">
        <v>4.4000000000000004</v>
      </c>
      <c r="J65" s="11">
        <v>4.9000000000000004</v>
      </c>
      <c r="K65" s="2">
        <v>-0.5</v>
      </c>
      <c r="L65" s="145">
        <v>116.3</v>
      </c>
      <c r="M65" s="3">
        <f t="shared" si="2"/>
        <v>10.7</v>
      </c>
      <c r="N65" s="235">
        <v>115.9</v>
      </c>
      <c r="O65" s="3">
        <f>100-(_xlfn.PERCENTRANK.INC($N$2:$N$151,N65)*100)</f>
        <v>1.4000000000000057</v>
      </c>
      <c r="P65" s="11">
        <v>29</v>
      </c>
      <c r="Q65" s="2">
        <v>52</v>
      </c>
      <c r="R65" s="174">
        <v>57.8</v>
      </c>
      <c r="S65" s="146">
        <v>2.1</v>
      </c>
      <c r="T65" s="2">
        <v>11.1</v>
      </c>
      <c r="U65" s="10">
        <v>32.700000000000003</v>
      </c>
      <c r="V65" s="204">
        <v>14.7</v>
      </c>
      <c r="W65" s="66">
        <v>0.2</v>
      </c>
      <c r="X65" s="2">
        <v>2</v>
      </c>
      <c r="Y65" s="14">
        <v>37.700000000000003</v>
      </c>
      <c r="Z65" s="207">
        <v>2.2000000000000002</v>
      </c>
      <c r="AA65" s="150">
        <v>86</v>
      </c>
      <c r="AB65" s="150">
        <v>52</v>
      </c>
      <c r="AC65" s="14">
        <v>5.3</v>
      </c>
      <c r="AD65" s="150">
        <v>34.699999999999996</v>
      </c>
      <c r="AE65" s="150">
        <f>(0.3*P65)+(0.25*R65)+(0.2*G65)+(0.15*U65)+(0.1*Y65)</f>
        <v>32.785000000000004</v>
      </c>
      <c r="AF65" s="150">
        <f>((U65+G65)-V65)*_xlfn.PERCENTRANK.INC($V$2:$V$151,V65)</f>
        <v>13.907999999999999</v>
      </c>
      <c r="AG65" s="150">
        <f>(0.35*I65)+(0.2*K65)+(0.15*O65)+(0.15+X65)+(0.15+W65)</f>
        <v>4.1500000000000004</v>
      </c>
      <c r="AH65" s="297">
        <f>(AE65*0.4)+(AF65*0.3)+(AG65*0.3)</f>
        <v>18.531400000000001</v>
      </c>
      <c r="AI65" s="3" t="s">
        <v>345</v>
      </c>
    </row>
    <row r="66" spans="1:35" ht="15" thickBot="1" x14ac:dyDescent="0.35">
      <c r="A66" s="2" t="s">
        <v>34</v>
      </c>
      <c r="B66" s="3" t="s">
        <v>173</v>
      </c>
      <c r="C66" s="3" t="s">
        <v>95</v>
      </c>
      <c r="D66" s="3" t="s">
        <v>75</v>
      </c>
      <c r="E66" s="3">
        <v>21</v>
      </c>
      <c r="F66" s="2">
        <v>82.1</v>
      </c>
      <c r="G66" s="58">
        <v>4.9000000000000004</v>
      </c>
      <c r="H66" s="5">
        <v>5</v>
      </c>
      <c r="I66" s="11">
        <v>7</v>
      </c>
      <c r="J66" s="79">
        <v>4.7</v>
      </c>
      <c r="K66" s="161">
        <v>2.2999999999999998</v>
      </c>
      <c r="L66" s="61">
        <v>114</v>
      </c>
      <c r="M66" s="3">
        <f t="shared" si="2"/>
        <v>5.3</v>
      </c>
      <c r="N66" s="144">
        <v>92.4</v>
      </c>
      <c r="O66" s="3">
        <f>100-(_xlfn.PERCENTRANK.INC($N$2:$N$151,N66)*100)</f>
        <v>82.6</v>
      </c>
      <c r="P66" s="10">
        <v>30.2</v>
      </c>
      <c r="Q66" s="80">
        <v>57.1</v>
      </c>
      <c r="R66" s="81">
        <v>56.9</v>
      </c>
      <c r="S66" s="10">
        <v>13.6</v>
      </c>
      <c r="T66" s="79">
        <v>20.8</v>
      </c>
      <c r="U66" s="2">
        <v>12.6</v>
      </c>
      <c r="V66" s="216">
        <v>14.2</v>
      </c>
      <c r="W66" s="145">
        <v>4.8</v>
      </c>
      <c r="X66" s="2">
        <v>2.1</v>
      </c>
      <c r="Y66" s="241">
        <v>25.1</v>
      </c>
      <c r="Z66" s="14">
        <v>3.5</v>
      </c>
      <c r="AA66" s="150">
        <v>52.2</v>
      </c>
      <c r="AB66" s="150">
        <v>59.9</v>
      </c>
      <c r="AC66" s="14">
        <v>3.7</v>
      </c>
      <c r="AD66" s="150">
        <v>25.5</v>
      </c>
      <c r="AE66" s="150">
        <f>(0.3*P66)+(0.25*R66)+(0.2*G66)+(0.15*U66)+(0.1*Y66)</f>
        <v>28.664999999999999</v>
      </c>
      <c r="AF66" s="150">
        <f>((U66+G66)-V66)*_xlfn.PERCENTRANK.INC($V$2:$V$151,V66)</f>
        <v>1.8381000000000005</v>
      </c>
      <c r="AG66" s="150">
        <f>(0.35*I66)+(0.2*K66)+(0.15*O66)+(0.15+X66)+(0.15+W66)</f>
        <v>22.499999999999996</v>
      </c>
      <c r="AH66" s="297">
        <f>(AE66*0.4)+(AF66*0.3)+(AG66*0.3)</f>
        <v>18.767430000000001</v>
      </c>
      <c r="AI66" s="3" t="s">
        <v>345</v>
      </c>
    </row>
    <row r="67" spans="1:35" ht="15" thickBot="1" x14ac:dyDescent="0.35">
      <c r="A67" s="2" t="s">
        <v>34</v>
      </c>
      <c r="B67" s="3" t="s">
        <v>174</v>
      </c>
      <c r="C67" s="3" t="s">
        <v>175</v>
      </c>
      <c r="D67" s="3" t="s">
        <v>75</v>
      </c>
      <c r="E67" s="3">
        <v>22</v>
      </c>
      <c r="F67" s="2">
        <v>85.4</v>
      </c>
      <c r="G67" s="69">
        <v>4.2</v>
      </c>
      <c r="H67" s="6">
        <v>3.4</v>
      </c>
      <c r="I67" s="175">
        <v>3.2</v>
      </c>
      <c r="J67" s="145">
        <v>3.4</v>
      </c>
      <c r="K67" s="2">
        <v>-0.2</v>
      </c>
      <c r="L67" s="2">
        <v>107.7</v>
      </c>
      <c r="M67" s="3">
        <f t="shared" si="2"/>
        <v>0</v>
      </c>
      <c r="N67" s="2">
        <v>105.3</v>
      </c>
      <c r="O67" s="3">
        <f>100-(_xlfn.PERCENTRANK.INC($N$2:$N$151,N67)*100)</f>
        <v>30.300000000000011</v>
      </c>
      <c r="P67" s="5">
        <v>32.9</v>
      </c>
      <c r="Q67" s="2">
        <v>52</v>
      </c>
      <c r="R67" s="2">
        <v>55.8</v>
      </c>
      <c r="S67" s="2">
        <v>4</v>
      </c>
      <c r="T67" s="2">
        <v>13.5</v>
      </c>
      <c r="U67" s="7">
        <v>25.6</v>
      </c>
      <c r="V67" s="2">
        <v>17.5</v>
      </c>
      <c r="W67" s="64">
        <v>0.1</v>
      </c>
      <c r="X67" s="2">
        <v>1.7</v>
      </c>
      <c r="Y67" s="14">
        <v>41.2</v>
      </c>
      <c r="Z67" s="14">
        <v>2.9</v>
      </c>
      <c r="AA67" s="150">
        <v>71.8</v>
      </c>
      <c r="AB67" s="150">
        <v>51.4</v>
      </c>
      <c r="AC67" s="14">
        <v>6</v>
      </c>
      <c r="AD67" s="150">
        <v>36.1</v>
      </c>
      <c r="AE67" s="150">
        <f>(0.3*P67)+(0.25*R67)+(0.2*G67)+(0.15*U67)+(0.1*Y67)</f>
        <v>32.619999999999997</v>
      </c>
      <c r="AF67" s="150">
        <f>((U67+G67)-V67)*_xlfn.PERCENTRANK.INC($V$2:$V$151,V67)</f>
        <v>10.6395</v>
      </c>
      <c r="AG67" s="150">
        <f>(0.35*I67)+(0.2*K67)+(0.15*O67)+(0.15+X67)+(0.15+W67)</f>
        <v>7.7250000000000014</v>
      </c>
      <c r="AH67" s="297">
        <f>(AE67*0.4)+(AF67*0.3)+(AG67*0.3)</f>
        <v>18.55735</v>
      </c>
      <c r="AI67" s="3" t="s">
        <v>345</v>
      </c>
    </row>
    <row r="68" spans="1:35" ht="15" thickBot="1" x14ac:dyDescent="0.35">
      <c r="A68" s="2" t="s">
        <v>52</v>
      </c>
      <c r="B68" s="3" t="s">
        <v>176</v>
      </c>
      <c r="C68" s="3" t="s">
        <v>159</v>
      </c>
      <c r="D68" s="3" t="s">
        <v>80</v>
      </c>
      <c r="E68" s="3">
        <v>22</v>
      </c>
      <c r="F68" s="2">
        <v>72.3</v>
      </c>
      <c r="G68" s="212">
        <v>3.8</v>
      </c>
      <c r="H68" s="6">
        <v>3.5</v>
      </c>
      <c r="I68" s="6">
        <v>5.0999999999999996</v>
      </c>
      <c r="J68" s="20">
        <v>3.2</v>
      </c>
      <c r="K68" s="179">
        <v>1.9</v>
      </c>
      <c r="L68" s="7">
        <v>118.1</v>
      </c>
      <c r="M68" s="3">
        <f t="shared" si="2"/>
        <v>17.399999999999999</v>
      </c>
      <c r="N68" s="2">
        <v>99.7</v>
      </c>
      <c r="O68" s="3">
        <f>100-(_xlfn.PERCENTRANK.INC($N$2:$N$151,N68)*100)</f>
        <v>53.699999999999996</v>
      </c>
      <c r="P68" s="175">
        <v>24.6</v>
      </c>
      <c r="Q68" s="79">
        <v>60.9</v>
      </c>
      <c r="R68" s="11">
        <v>64.099999999999994</v>
      </c>
      <c r="S68" s="72">
        <v>9.3000000000000007</v>
      </c>
      <c r="T68" s="2">
        <v>14.6</v>
      </c>
      <c r="U68" s="2">
        <v>12.6</v>
      </c>
      <c r="V68" s="2">
        <v>16.399999999999999</v>
      </c>
      <c r="W68" s="2">
        <v>1.7</v>
      </c>
      <c r="X68" s="2">
        <v>1.6</v>
      </c>
      <c r="Y68" s="132">
        <v>103.8</v>
      </c>
      <c r="Z68" s="242">
        <v>4.5999999999999996</v>
      </c>
      <c r="AA68" s="150">
        <v>67</v>
      </c>
      <c r="AB68" s="150">
        <v>61.199999999999996</v>
      </c>
      <c r="AC68" s="217">
        <v>0.1</v>
      </c>
      <c r="AD68" s="150">
        <v>0</v>
      </c>
      <c r="AE68" s="150">
        <f>(0.3*P68)+(0.25*R68)+(0.2*G68)+(0.15*U68)+(0.1*Y68)</f>
        <v>36.435000000000002</v>
      </c>
      <c r="AF68" s="150">
        <f>((U68+G68)-V68)*_xlfn.PERCENTRANK.INC($V$2:$V$151,V68)</f>
        <v>0</v>
      </c>
      <c r="AG68" s="150">
        <f>(0.35*I68)+(0.2*K68)+(0.15*O68)+(0.15+X68)+(0.15+W68)</f>
        <v>13.819999999999999</v>
      </c>
      <c r="AH68" s="297">
        <f>(AE68*0.4)+(AF68*0.3)+(AG68*0.3)</f>
        <v>18.72</v>
      </c>
      <c r="AI68" s="3" t="s">
        <v>345</v>
      </c>
    </row>
    <row r="69" spans="1:35" ht="15" thickBot="1" x14ac:dyDescent="0.35">
      <c r="A69" s="2" t="s">
        <v>41</v>
      </c>
      <c r="B69" s="3" t="s">
        <v>177</v>
      </c>
      <c r="C69" s="3" t="s">
        <v>118</v>
      </c>
      <c r="D69" s="3" t="s">
        <v>75</v>
      </c>
      <c r="E69" s="3">
        <v>21</v>
      </c>
      <c r="F69" s="2">
        <v>85.3</v>
      </c>
      <c r="G69" s="58">
        <v>4.9000000000000004</v>
      </c>
      <c r="H69" s="17">
        <v>4</v>
      </c>
      <c r="I69" s="59">
        <v>6</v>
      </c>
      <c r="J69" s="11">
        <v>5.0999999999999996</v>
      </c>
      <c r="K69" s="2">
        <v>0.9</v>
      </c>
      <c r="L69" s="79">
        <v>120.7</v>
      </c>
      <c r="M69" s="3">
        <f t="shared" si="2"/>
        <v>31.5</v>
      </c>
      <c r="N69" s="2">
        <v>100.7</v>
      </c>
      <c r="O69" s="3">
        <f>100-(_xlfn.PERCENTRANK.INC($N$2:$N$151,N69)*100)</f>
        <v>50.4</v>
      </c>
      <c r="P69" s="206">
        <v>24.7</v>
      </c>
      <c r="Q69" s="2">
        <v>52.8</v>
      </c>
      <c r="R69" s="60">
        <v>56.5</v>
      </c>
      <c r="S69" s="65">
        <v>3.1</v>
      </c>
      <c r="T69" s="194">
        <v>8.4</v>
      </c>
      <c r="U69" s="59">
        <v>26.8</v>
      </c>
      <c r="V69" s="216">
        <v>14.2</v>
      </c>
      <c r="W69" s="66">
        <v>0.2</v>
      </c>
      <c r="X69" s="2">
        <v>2</v>
      </c>
      <c r="Y69" s="243">
        <v>27.1</v>
      </c>
      <c r="Z69" s="15">
        <v>1.5</v>
      </c>
      <c r="AA69" s="150">
        <v>80.800000000000011</v>
      </c>
      <c r="AB69" s="150">
        <v>47.5</v>
      </c>
      <c r="AC69" s="14">
        <v>6.9</v>
      </c>
      <c r="AD69" s="150">
        <v>43.2</v>
      </c>
      <c r="AE69" s="150">
        <f>(0.3*P69)+(0.25*R69)+(0.2*G69)+(0.15*U69)+(0.1*Y69)</f>
        <v>29.245000000000001</v>
      </c>
      <c r="AF69" s="150">
        <f>((U69+G69)-V69)*_xlfn.PERCENTRANK.INC($V$2:$V$151,V69)</f>
        <v>9.7475000000000023</v>
      </c>
      <c r="AG69" s="150">
        <f>(0.35*I69)+(0.2*K69)+(0.15*O69)+(0.15+X69)+(0.15+W69)</f>
        <v>12.34</v>
      </c>
      <c r="AH69" s="297">
        <f>(AE69*0.4)+(AF69*0.3)+(AG69*0.3)</f>
        <v>18.324249999999999</v>
      </c>
      <c r="AI69" s="3" t="s">
        <v>345</v>
      </c>
    </row>
    <row r="70" spans="1:35" ht="15" thickBot="1" x14ac:dyDescent="0.35">
      <c r="A70" s="2" t="s">
        <v>52</v>
      </c>
      <c r="B70" s="3" t="s">
        <v>178</v>
      </c>
      <c r="C70" s="3" t="s">
        <v>84</v>
      </c>
      <c r="D70" s="3" t="s">
        <v>80</v>
      </c>
      <c r="E70" s="3">
        <v>22</v>
      </c>
      <c r="F70" s="2">
        <v>58.4</v>
      </c>
      <c r="G70" s="4">
        <v>5.6</v>
      </c>
      <c r="H70" s="206">
        <v>3.1</v>
      </c>
      <c r="I70" s="5">
        <v>11.2</v>
      </c>
      <c r="J70" s="5">
        <v>8.4</v>
      </c>
      <c r="K70" s="180">
        <v>2.8</v>
      </c>
      <c r="L70" s="5">
        <v>155.9</v>
      </c>
      <c r="M70" s="3">
        <f t="shared" si="2"/>
        <v>100</v>
      </c>
      <c r="N70" s="155">
        <v>95.8</v>
      </c>
      <c r="O70" s="3">
        <f>100-(_xlfn.PERCENTRANK.INC($N$2:$N$151,N70)*100)</f>
        <v>67.199999999999989</v>
      </c>
      <c r="P70" s="2">
        <v>18.5</v>
      </c>
      <c r="Q70" s="5">
        <v>74.599999999999994</v>
      </c>
      <c r="R70" s="5">
        <v>74.8</v>
      </c>
      <c r="S70" s="5">
        <v>18.7</v>
      </c>
      <c r="T70" s="59">
        <v>20.399999999999999</v>
      </c>
      <c r="U70" s="2">
        <v>12.1</v>
      </c>
      <c r="V70" s="220">
        <v>7</v>
      </c>
      <c r="W70" s="19">
        <v>3.7</v>
      </c>
      <c r="X70" s="244">
        <v>0.8</v>
      </c>
      <c r="Y70" s="14">
        <v>44.8</v>
      </c>
      <c r="Z70" s="245">
        <v>4.4000000000000004</v>
      </c>
      <c r="AA70" s="150">
        <v>71.7</v>
      </c>
      <c r="AB70" s="150">
        <v>74.599999999999994</v>
      </c>
      <c r="AC70" s="199">
        <v>0</v>
      </c>
      <c r="AD70" s="150">
        <v>0</v>
      </c>
      <c r="AE70" s="150">
        <f>(0.3*P70)+(0.25*R70)+(0.2*G70)+(0.15*U70)+(0.1*Y70)</f>
        <v>31.665000000000003</v>
      </c>
      <c r="AF70" s="150">
        <f>((U70+G70)-V70)*_xlfn.PERCENTRANK.INC($V$2:$V$151,V70)</f>
        <v>0.27819999999999995</v>
      </c>
      <c r="AG70" s="150">
        <f>(0.35*I70)+(0.2*K70)+(0.15*O70)+(0.15+X70)+(0.15+W70)</f>
        <v>19.36</v>
      </c>
      <c r="AH70" s="297">
        <f>(AE70*0.4)+(AF70*0.3)+(AG70*0.3)</f>
        <v>18.557460000000003</v>
      </c>
      <c r="AI70" s="3" t="s">
        <v>345</v>
      </c>
    </row>
    <row r="71" spans="1:35" ht="15" thickBot="1" x14ac:dyDescent="0.35">
      <c r="A71" s="2" t="s">
        <v>52</v>
      </c>
      <c r="B71" s="3" t="s">
        <v>179</v>
      </c>
      <c r="C71" s="3" t="s">
        <v>118</v>
      </c>
      <c r="D71" s="3" t="s">
        <v>75</v>
      </c>
      <c r="E71" s="3">
        <v>21</v>
      </c>
      <c r="F71" s="2">
        <v>80.5</v>
      </c>
      <c r="G71" s="4">
        <v>5.7</v>
      </c>
      <c r="H71" s="10">
        <v>4.3</v>
      </c>
      <c r="I71" s="5">
        <v>10.7</v>
      </c>
      <c r="J71" s="5">
        <v>7.8</v>
      </c>
      <c r="K71" s="20">
        <v>2.9</v>
      </c>
      <c r="L71" s="5">
        <v>130.9</v>
      </c>
      <c r="M71" s="3">
        <f t="shared" si="2"/>
        <v>82.5</v>
      </c>
      <c r="N71" s="196">
        <v>95.5</v>
      </c>
      <c r="O71" s="3">
        <f>100-(_xlfn.PERCENTRANK.INC($N$2:$N$151,N71)*100)</f>
        <v>69.2</v>
      </c>
      <c r="P71" s="223">
        <v>23.5</v>
      </c>
      <c r="Q71" s="11">
        <v>61.2</v>
      </c>
      <c r="R71" s="17">
        <v>65</v>
      </c>
      <c r="S71" s="2">
        <v>6.2</v>
      </c>
      <c r="T71" s="2">
        <v>12.9</v>
      </c>
      <c r="U71" s="2">
        <v>11.6</v>
      </c>
      <c r="V71" s="178">
        <v>12.3</v>
      </c>
      <c r="W71" s="2">
        <v>1</v>
      </c>
      <c r="X71" s="79">
        <v>3.4</v>
      </c>
      <c r="Y71" s="14">
        <v>37.5</v>
      </c>
      <c r="Z71" s="14">
        <v>2.7</v>
      </c>
      <c r="AA71" s="150">
        <v>82</v>
      </c>
      <c r="AB71" s="150">
        <v>63.6</v>
      </c>
      <c r="AC71" s="149">
        <v>12.3</v>
      </c>
      <c r="AD71" s="150">
        <v>39.6</v>
      </c>
      <c r="AE71" s="150">
        <f>(0.3*P71)+(0.25*R71)+(0.2*G71)+(0.15*U71)+(0.1*Y71)</f>
        <v>29.93</v>
      </c>
      <c r="AF71" s="150">
        <f>((U71+G71)-V71)*_xlfn.PERCENTRANK.INC($V$2:$V$151,V71)</f>
        <v>1.875</v>
      </c>
      <c r="AG71" s="150">
        <f>(0.35*I71)+(0.2*K71)+(0.15*O71)+(0.15+X71)+(0.15+W71)</f>
        <v>19.404999999999998</v>
      </c>
      <c r="AH71" s="297">
        <f>(AE71*0.4)+(AF71*0.3)+(AG71*0.3)</f>
        <v>18.356000000000002</v>
      </c>
      <c r="AI71" s="3" t="s">
        <v>345</v>
      </c>
    </row>
    <row r="72" spans="1:35" ht="15" thickBot="1" x14ac:dyDescent="0.35">
      <c r="A72" s="2" t="s">
        <v>48</v>
      </c>
      <c r="B72" s="3" t="s">
        <v>180</v>
      </c>
      <c r="C72" s="3" t="s">
        <v>56</v>
      </c>
      <c r="D72" s="3" t="s">
        <v>80</v>
      </c>
      <c r="E72" s="3">
        <v>19</v>
      </c>
      <c r="F72" s="2">
        <v>70.599999999999994</v>
      </c>
      <c r="G72" s="4">
        <v>5.2</v>
      </c>
      <c r="H72" s="5">
        <v>4.5999999999999996</v>
      </c>
      <c r="I72" s="10">
        <v>9.1</v>
      </c>
      <c r="J72" s="10">
        <v>7.1</v>
      </c>
      <c r="K72" s="179">
        <v>2</v>
      </c>
      <c r="L72" s="17">
        <v>124</v>
      </c>
      <c r="M72" s="3">
        <f t="shared" si="2"/>
        <v>50.3</v>
      </c>
      <c r="N72" s="233">
        <v>93.6</v>
      </c>
      <c r="O72" s="3">
        <f>100-(_xlfn.PERCENTRANK.INC($N$2:$N$151,N72)*100)</f>
        <v>77.2</v>
      </c>
      <c r="P72" s="161">
        <v>24.9</v>
      </c>
      <c r="Q72" s="161">
        <v>56.1</v>
      </c>
      <c r="R72" s="20">
        <v>60.4</v>
      </c>
      <c r="S72" s="5">
        <v>15.1</v>
      </c>
      <c r="T72" s="10">
        <v>23.7</v>
      </c>
      <c r="U72" s="2">
        <v>10.199999999999999</v>
      </c>
      <c r="V72" s="233">
        <v>12.6</v>
      </c>
      <c r="W72" s="163">
        <v>3.3</v>
      </c>
      <c r="X72" s="2">
        <v>1.9</v>
      </c>
      <c r="Y72" s="14">
        <v>44.5</v>
      </c>
      <c r="Z72" s="14">
        <v>2.7</v>
      </c>
      <c r="AA72" s="150">
        <v>76.5</v>
      </c>
      <c r="AB72" s="150">
        <v>56.2</v>
      </c>
      <c r="AC72" s="234">
        <v>3.2</v>
      </c>
      <c r="AD72" s="150">
        <v>37.1</v>
      </c>
      <c r="AE72" s="150">
        <f>(0.3*P72)+(0.25*R72)+(0.2*G72)+(0.15*U72)+(0.1*Y72)</f>
        <v>29.59</v>
      </c>
      <c r="AF72" s="150">
        <f>((U72+G72)-V72)*_xlfn.PERCENTRANK.INC($V$2:$V$151,V72)</f>
        <v>1.0891999999999997</v>
      </c>
      <c r="AG72" s="150">
        <f>(0.35*I72)+(0.2*K72)+(0.15*O72)+(0.15+X72)+(0.15+W72)</f>
        <v>20.664999999999999</v>
      </c>
      <c r="AH72" s="297">
        <f>(AE72*0.4)+(AF72*0.3)+(AG72*0.3)</f>
        <v>18.362259999999999</v>
      </c>
      <c r="AI72" s="3" t="s">
        <v>345</v>
      </c>
    </row>
    <row r="73" spans="1:35" ht="15" thickBot="1" x14ac:dyDescent="0.35">
      <c r="A73" s="2" t="s">
        <v>52</v>
      </c>
      <c r="B73" s="3" t="s">
        <v>181</v>
      </c>
      <c r="C73" s="3" t="s">
        <v>182</v>
      </c>
      <c r="D73" s="3" t="s">
        <v>80</v>
      </c>
      <c r="E73" s="3">
        <v>22</v>
      </c>
      <c r="F73" s="2">
        <v>77</v>
      </c>
      <c r="G73" s="69">
        <v>4.3</v>
      </c>
      <c r="H73" s="5">
        <v>4.9000000000000004</v>
      </c>
      <c r="I73" s="10">
        <v>9.4</v>
      </c>
      <c r="J73" s="80">
        <v>2.9</v>
      </c>
      <c r="K73" s="5">
        <v>6.5</v>
      </c>
      <c r="L73" s="5">
        <v>136.4</v>
      </c>
      <c r="M73" s="3">
        <f t="shared" si="2"/>
        <v>91.2</v>
      </c>
      <c r="N73" s="82">
        <v>88.5</v>
      </c>
      <c r="O73" s="3">
        <f>100-(_xlfn.PERCENTRANK.INC($N$2:$N$151,N73)*100)</f>
        <v>90.7</v>
      </c>
      <c r="P73" s="186">
        <v>14.9</v>
      </c>
      <c r="Q73" s="11">
        <v>61.6</v>
      </c>
      <c r="R73" s="79">
        <v>63</v>
      </c>
      <c r="S73" s="2">
        <v>3.5</v>
      </c>
      <c r="T73" s="2">
        <v>15.1</v>
      </c>
      <c r="U73" s="180">
        <v>23.4</v>
      </c>
      <c r="V73" s="82">
        <v>9.3000000000000007</v>
      </c>
      <c r="W73" s="184">
        <v>0.4</v>
      </c>
      <c r="X73" s="10">
        <v>3.7</v>
      </c>
      <c r="Y73" s="246">
        <v>23.8</v>
      </c>
      <c r="Z73" s="14">
        <v>3.1</v>
      </c>
      <c r="AA73" s="150">
        <v>71.399999999999991</v>
      </c>
      <c r="AB73" s="150">
        <v>63.4</v>
      </c>
      <c r="AC73" s="14">
        <v>4.7</v>
      </c>
      <c r="AD73" s="150">
        <v>38.9</v>
      </c>
      <c r="AE73" s="150">
        <f>(0.3*P73)+(0.25*R73)+(0.2*G73)+(0.15*U73)+(0.1*Y73)</f>
        <v>26.969999999999995</v>
      </c>
      <c r="AF73" s="150">
        <f>((U73+G73)-V73)*_xlfn.PERCENTRANK.INC($V$2:$V$151,V73)</f>
        <v>2.3367999999999998</v>
      </c>
      <c r="AG73" s="150">
        <f>(0.35*I73)+(0.2*K73)+(0.15*O73)+(0.15+X73)+(0.15+W73)</f>
        <v>22.595000000000002</v>
      </c>
      <c r="AH73" s="297">
        <f>(AE73*0.4)+(AF73*0.3)+(AG73*0.3)</f>
        <v>18.26754</v>
      </c>
      <c r="AI73" s="3" t="s">
        <v>345</v>
      </c>
    </row>
    <row r="74" spans="1:35" ht="15" thickBot="1" x14ac:dyDescent="0.35">
      <c r="A74" s="2" t="s">
        <v>34</v>
      </c>
      <c r="B74" s="3" t="s">
        <v>183</v>
      </c>
      <c r="C74" s="3" t="s">
        <v>184</v>
      </c>
      <c r="D74" s="3" t="s">
        <v>71</v>
      </c>
      <c r="E74" s="3">
        <v>15</v>
      </c>
      <c r="F74" s="2">
        <v>51</v>
      </c>
      <c r="G74" s="58">
        <v>5.0999999999999996</v>
      </c>
      <c r="H74" s="2">
        <v>1.9</v>
      </c>
      <c r="I74" s="5">
        <v>10.1</v>
      </c>
      <c r="J74" s="5">
        <v>10</v>
      </c>
      <c r="K74" s="2">
        <v>0.1</v>
      </c>
      <c r="L74" s="10">
        <v>128.19999999999999</v>
      </c>
      <c r="M74" s="3">
        <f t="shared" si="2"/>
        <v>73.099999999999994</v>
      </c>
      <c r="N74" s="247">
        <v>111.2</v>
      </c>
      <c r="O74" s="3">
        <f>100-(_xlfn.PERCENTRANK.INC($N$2:$N$151,N74)*100)</f>
        <v>10.799999999999997</v>
      </c>
      <c r="P74" s="5">
        <v>34.1</v>
      </c>
      <c r="Q74" s="79">
        <v>60.6</v>
      </c>
      <c r="R74" s="10">
        <v>67.099999999999994</v>
      </c>
      <c r="S74" s="64">
        <v>2.5</v>
      </c>
      <c r="T74" s="2">
        <v>12.2</v>
      </c>
      <c r="U74" s="2">
        <v>16.7</v>
      </c>
      <c r="V74" s="12">
        <v>11.8</v>
      </c>
      <c r="W74" s="184">
        <v>0.4</v>
      </c>
      <c r="X74" s="175">
        <v>2.7</v>
      </c>
      <c r="Y74" s="153">
        <v>60.8</v>
      </c>
      <c r="Z74" s="14">
        <v>3.1</v>
      </c>
      <c r="AA74" s="150">
        <v>85.1</v>
      </c>
      <c r="AB74" s="150">
        <v>54.900000000000006</v>
      </c>
      <c r="AC74" s="14">
        <v>5.5</v>
      </c>
      <c r="AD74" s="150">
        <v>56.8</v>
      </c>
      <c r="AE74" s="150">
        <f>(0.3*P74)+(0.25*R74)+(0.2*G74)+(0.15*U74)+(0.1*Y74)</f>
        <v>36.61</v>
      </c>
      <c r="AF74" s="150">
        <f>((U74+G74)-V74)*_xlfn.PERCENTRANK.INC($V$2:$V$151,V74)</f>
        <v>3.0799999999999987</v>
      </c>
      <c r="AG74" s="150">
        <f>(0.35*I74)+(0.2*K74)+(0.15*O74)+(0.15+X74)+(0.15+W74)</f>
        <v>8.5749999999999993</v>
      </c>
      <c r="AH74" s="297">
        <f>(AE74*0.4)+(AF74*0.3)+(AG74*0.3)</f>
        <v>18.140499999999999</v>
      </c>
      <c r="AI74" s="3" t="s">
        <v>345</v>
      </c>
    </row>
    <row r="75" spans="1:35" ht="15" thickBot="1" x14ac:dyDescent="0.35">
      <c r="A75" s="2" t="s">
        <v>52</v>
      </c>
      <c r="B75" s="3" t="s">
        <v>185</v>
      </c>
      <c r="C75" s="3" t="s">
        <v>186</v>
      </c>
      <c r="D75" s="3" t="s">
        <v>80</v>
      </c>
      <c r="E75" s="3">
        <v>22</v>
      </c>
      <c r="F75" s="2">
        <v>74.599999999999994</v>
      </c>
      <c r="G75" s="58">
        <v>4.9000000000000004</v>
      </c>
      <c r="H75" s="61">
        <v>3.2</v>
      </c>
      <c r="I75" s="11">
        <v>6.9</v>
      </c>
      <c r="J75" s="17">
        <v>5.8</v>
      </c>
      <c r="K75" s="2">
        <v>1.1000000000000001</v>
      </c>
      <c r="L75" s="59">
        <v>119.7</v>
      </c>
      <c r="M75" s="3">
        <f t="shared" si="2"/>
        <v>25.5</v>
      </c>
      <c r="N75" s="2">
        <v>103.3</v>
      </c>
      <c r="O75" s="3">
        <f>100-(_xlfn.PERCENTRANK.INC($N$2:$N$151,N75)*100)</f>
        <v>39.6</v>
      </c>
      <c r="P75" s="17">
        <v>30</v>
      </c>
      <c r="Q75" s="2">
        <v>53.1</v>
      </c>
      <c r="R75" s="161">
        <v>59</v>
      </c>
      <c r="S75" s="146">
        <v>2.1</v>
      </c>
      <c r="T75" s="2">
        <v>10.9</v>
      </c>
      <c r="U75" s="7">
        <v>25.5</v>
      </c>
      <c r="V75" s="9">
        <v>11.2</v>
      </c>
      <c r="W75" s="66">
        <v>0.2</v>
      </c>
      <c r="X75" s="2">
        <v>1.7</v>
      </c>
      <c r="Y75" s="14">
        <v>44.5</v>
      </c>
      <c r="Z75" s="14">
        <v>2.7</v>
      </c>
      <c r="AA75" s="150">
        <v>82.5</v>
      </c>
      <c r="AB75" s="150">
        <v>56.2</v>
      </c>
      <c r="AC75" s="16">
        <v>9</v>
      </c>
      <c r="AD75" s="150">
        <v>31.4</v>
      </c>
      <c r="AE75" s="150">
        <f>(0.3*P75)+(0.25*R75)+(0.2*G75)+(0.15*U75)+(0.1*Y75)</f>
        <v>33.005000000000003</v>
      </c>
      <c r="AF75" s="150">
        <f>((U75+G75)-V75)*_xlfn.PERCENTRANK.INC($V$2:$V$151,V75)</f>
        <v>4.7615999999999996</v>
      </c>
      <c r="AG75" s="150">
        <f>(0.35*I75)+(0.2*K75)+(0.15*O75)+(0.15+X75)+(0.15+W75)</f>
        <v>10.775</v>
      </c>
      <c r="AH75" s="297">
        <f>(AE75*0.4)+(AF75*0.3)+(AG75*0.3)</f>
        <v>17.86298</v>
      </c>
      <c r="AI75" s="3" t="s">
        <v>345</v>
      </c>
    </row>
    <row r="76" spans="1:35" ht="15" thickBot="1" x14ac:dyDescent="0.35">
      <c r="A76" s="2" t="s">
        <v>52</v>
      </c>
      <c r="B76" s="3" t="s">
        <v>187</v>
      </c>
      <c r="C76" s="3" t="s">
        <v>188</v>
      </c>
      <c r="D76" s="3" t="s">
        <v>189</v>
      </c>
      <c r="E76" s="3">
        <v>21</v>
      </c>
      <c r="F76" s="2">
        <v>63.7</v>
      </c>
      <c r="G76" s="158">
        <v>4</v>
      </c>
      <c r="H76" s="2">
        <v>2.4</v>
      </c>
      <c r="I76" s="59">
        <v>6.1</v>
      </c>
      <c r="J76" s="10">
        <v>6.1</v>
      </c>
      <c r="K76" s="2">
        <v>0</v>
      </c>
      <c r="L76" s="11">
        <v>122.6</v>
      </c>
      <c r="M76" s="3">
        <f t="shared" si="2"/>
        <v>42.9</v>
      </c>
      <c r="N76" s="2">
        <v>106.5</v>
      </c>
      <c r="O76" s="3">
        <f>100-(_xlfn.PERCENTRANK.INC($N$2:$N$151,N76)*100)</f>
        <v>26.200000000000003</v>
      </c>
      <c r="P76" s="10">
        <v>31.5</v>
      </c>
      <c r="Q76" s="145">
        <v>58</v>
      </c>
      <c r="R76" s="11">
        <v>63.7</v>
      </c>
      <c r="S76" s="10">
        <v>13.6</v>
      </c>
      <c r="T76" s="11">
        <v>21.6</v>
      </c>
      <c r="U76" s="2">
        <v>11</v>
      </c>
      <c r="V76" s="216">
        <v>14.3</v>
      </c>
      <c r="W76" s="206">
        <v>4</v>
      </c>
      <c r="X76" s="2">
        <v>1.6</v>
      </c>
      <c r="Y76" s="132">
        <v>84.5</v>
      </c>
      <c r="Z76" s="248">
        <v>4.9000000000000004</v>
      </c>
      <c r="AA76" s="150">
        <v>74.099999999999994</v>
      </c>
      <c r="AB76" s="150">
        <v>58.5</v>
      </c>
      <c r="AC76" s="217">
        <v>0.2</v>
      </c>
      <c r="AD76" s="150">
        <v>0</v>
      </c>
      <c r="AE76" s="150">
        <f>(0.3*P76)+(0.25*R76)+(0.2*G76)+(0.15*U76)+(0.1*Y76)</f>
        <v>36.274999999999999</v>
      </c>
      <c r="AF76" s="150">
        <f>((U76+G76)-V76)*_xlfn.PERCENTRANK.INC($V$2:$V$151,V76)</f>
        <v>0.40809999999999957</v>
      </c>
      <c r="AG76" s="150">
        <f>(0.35*I76)+(0.2*K76)+(0.15*O76)+(0.15+X76)+(0.15+W76)</f>
        <v>11.965</v>
      </c>
      <c r="AH76" s="297">
        <f>(AE76*0.4)+(AF76*0.3)+(AG76*0.3)</f>
        <v>18.22193</v>
      </c>
      <c r="AI76" s="3" t="s">
        <v>345</v>
      </c>
    </row>
    <row r="77" spans="1:35" ht="15" thickBot="1" x14ac:dyDescent="0.35">
      <c r="A77" s="2" t="s">
        <v>41</v>
      </c>
      <c r="B77" s="3" t="s">
        <v>190</v>
      </c>
      <c r="C77" s="3" t="s">
        <v>191</v>
      </c>
      <c r="D77" s="3" t="s">
        <v>192</v>
      </c>
      <c r="E77" s="3">
        <v>17</v>
      </c>
      <c r="F77" s="2">
        <v>63.3</v>
      </c>
      <c r="G77" s="158">
        <v>3.9</v>
      </c>
      <c r="H77" s="119">
        <v>3</v>
      </c>
      <c r="I77" s="79">
        <v>6.6</v>
      </c>
      <c r="J77" s="11">
        <v>5.3</v>
      </c>
      <c r="K77" s="70">
        <v>1.3</v>
      </c>
      <c r="L77" s="11">
        <v>122.3</v>
      </c>
      <c r="M77" s="3">
        <f t="shared" si="2"/>
        <v>42.199999999999996</v>
      </c>
      <c r="N77" s="2">
        <v>104.8</v>
      </c>
      <c r="O77" s="3">
        <f>100-(_xlfn.PERCENTRANK.INC($N$2:$N$151,N77)*100)</f>
        <v>32.899999999999991</v>
      </c>
      <c r="P77" s="180">
        <v>25.7</v>
      </c>
      <c r="Q77" s="175">
        <v>55.7</v>
      </c>
      <c r="R77" s="59">
        <v>62.3</v>
      </c>
      <c r="S77" s="81">
        <v>7.7</v>
      </c>
      <c r="T77" s="2">
        <v>13.2</v>
      </c>
      <c r="U77" s="2">
        <v>16.8</v>
      </c>
      <c r="V77" s="62">
        <v>13.7</v>
      </c>
      <c r="W77" s="2">
        <v>2</v>
      </c>
      <c r="X77" s="2">
        <v>2.2999999999999998</v>
      </c>
      <c r="Y77" s="249">
        <v>66.8</v>
      </c>
      <c r="Z77" s="221">
        <v>3.8</v>
      </c>
      <c r="AA77" s="150">
        <v>78.900000000000006</v>
      </c>
      <c r="AB77" s="150">
        <v>56.3</v>
      </c>
      <c r="AC77" s="14">
        <v>4.5999999999999996</v>
      </c>
      <c r="AD77" s="150">
        <v>35.699999999999996</v>
      </c>
      <c r="AE77" s="150">
        <f>(0.3*P77)+(0.25*R77)+(0.2*G77)+(0.15*U77)+(0.1*Y77)</f>
        <v>33.265000000000001</v>
      </c>
      <c r="AF77" s="150">
        <f>((U77+G77)-V77)*_xlfn.PERCENTRANK.INC($V$2:$V$151,V77)</f>
        <v>3.661</v>
      </c>
      <c r="AG77" s="150">
        <f>(0.35*I77)+(0.2*K77)+(0.15*O77)+(0.15+X77)+(0.15+W77)</f>
        <v>12.104999999999999</v>
      </c>
      <c r="AH77" s="297">
        <f>(AE77*0.4)+(AF77*0.3)+(AG77*0.3)</f>
        <v>18.035800000000002</v>
      </c>
      <c r="AI77" s="3" t="s">
        <v>345</v>
      </c>
    </row>
    <row r="78" spans="1:35" ht="15" thickBot="1" x14ac:dyDescent="0.35">
      <c r="A78" s="2" t="s">
        <v>34</v>
      </c>
      <c r="B78" s="3" t="s">
        <v>193</v>
      </c>
      <c r="C78" s="3" t="s">
        <v>154</v>
      </c>
      <c r="D78" s="3" t="s">
        <v>147</v>
      </c>
      <c r="E78" s="3">
        <v>22</v>
      </c>
      <c r="F78" s="2">
        <v>83.6</v>
      </c>
      <c r="G78" s="58">
        <v>5.0999999999999996</v>
      </c>
      <c r="H78" s="10">
        <v>4.2</v>
      </c>
      <c r="I78" s="59">
        <v>6.1</v>
      </c>
      <c r="J78" s="59">
        <v>4.4000000000000004</v>
      </c>
      <c r="K78" s="200">
        <v>1.7</v>
      </c>
      <c r="L78" s="79">
        <v>120.6</v>
      </c>
      <c r="M78" s="3">
        <f t="shared" si="2"/>
        <v>30.2</v>
      </c>
      <c r="N78" s="213">
        <v>97.7</v>
      </c>
      <c r="O78" s="3">
        <f>100-(_xlfn.PERCENTRANK.INC($N$2:$N$151,N78)*100)</f>
        <v>62.5</v>
      </c>
      <c r="P78" s="63">
        <v>27.3</v>
      </c>
      <c r="Q78" s="2">
        <v>50.7</v>
      </c>
      <c r="R78" s="175">
        <v>58.6</v>
      </c>
      <c r="S78" s="81">
        <v>7.7</v>
      </c>
      <c r="T78" s="180">
        <v>18.3</v>
      </c>
      <c r="U78" s="2">
        <v>14.8</v>
      </c>
      <c r="V78" s="168">
        <v>13</v>
      </c>
      <c r="W78" s="2">
        <v>1.6</v>
      </c>
      <c r="X78" s="147">
        <v>1.1000000000000001</v>
      </c>
      <c r="Y78" s="211">
        <v>54.7</v>
      </c>
      <c r="Z78" s="14">
        <v>3</v>
      </c>
      <c r="AA78" s="150">
        <v>84.6</v>
      </c>
      <c r="AB78" s="150">
        <v>53.2</v>
      </c>
      <c r="AC78" s="14">
        <v>5.5</v>
      </c>
      <c r="AD78" s="150">
        <v>28.4</v>
      </c>
      <c r="AE78" s="150">
        <f>(0.3*P78)+(0.25*R78)+(0.2*G78)+(0.15*U78)+(0.1*Y78)</f>
        <v>31.549999999999997</v>
      </c>
      <c r="AF78" s="150">
        <f>((U78+G78)-V78)*_xlfn.PERCENTRANK.INC($V$2:$V$151,V78)</f>
        <v>3.0083999999999995</v>
      </c>
      <c r="AG78" s="150">
        <f>(0.35*I78)+(0.2*K78)+(0.15*O78)+(0.15+X78)+(0.15+W78)</f>
        <v>14.85</v>
      </c>
      <c r="AH78" s="297">
        <f>(AE78*0.4)+(AF78*0.3)+(AG78*0.3)</f>
        <v>17.977519999999998</v>
      </c>
      <c r="AI78" s="3" t="s">
        <v>345</v>
      </c>
    </row>
    <row r="79" spans="1:35" ht="15" thickBot="1" x14ac:dyDescent="0.35">
      <c r="A79" s="2" t="s">
        <v>52</v>
      </c>
      <c r="B79" s="3" t="s">
        <v>194</v>
      </c>
      <c r="C79" s="3" t="s">
        <v>195</v>
      </c>
      <c r="D79" s="3" t="s">
        <v>51</v>
      </c>
      <c r="E79" s="3">
        <v>22</v>
      </c>
      <c r="F79" s="2">
        <v>80.099999999999994</v>
      </c>
      <c r="G79" s="69">
        <v>4.2</v>
      </c>
      <c r="H79" s="161">
        <v>3.1</v>
      </c>
      <c r="I79" s="63">
        <v>5.7</v>
      </c>
      <c r="J79" s="11">
        <v>5.2</v>
      </c>
      <c r="K79" s="2">
        <v>0.5</v>
      </c>
      <c r="L79" s="63">
        <v>119.1</v>
      </c>
      <c r="M79" s="3">
        <f t="shared" si="2"/>
        <v>22.1</v>
      </c>
      <c r="N79" s="2">
        <v>105.9</v>
      </c>
      <c r="O79" s="3">
        <f>100-(_xlfn.PERCENTRANK.INC($N$2:$N$151,N79)*100)</f>
        <v>28.200000000000003</v>
      </c>
      <c r="P79" s="20">
        <v>26</v>
      </c>
      <c r="Q79" s="119">
        <v>55.5</v>
      </c>
      <c r="R79" s="161">
        <v>59</v>
      </c>
      <c r="S79" s="2">
        <v>6.9</v>
      </c>
      <c r="T79" s="2">
        <v>13</v>
      </c>
      <c r="U79" s="223">
        <v>19.5</v>
      </c>
      <c r="V79" s="62">
        <v>13.6</v>
      </c>
      <c r="W79" s="2">
        <v>2</v>
      </c>
      <c r="X79" s="66">
        <v>1.3</v>
      </c>
      <c r="Y79" s="228">
        <v>70.5</v>
      </c>
      <c r="Z79" s="225">
        <v>1.6</v>
      </c>
      <c r="AA79" s="150">
        <v>65.7</v>
      </c>
      <c r="AB79" s="150">
        <v>58.099999999999994</v>
      </c>
      <c r="AC79" s="182">
        <v>2.7</v>
      </c>
      <c r="AD79" s="150">
        <v>26.5</v>
      </c>
      <c r="AE79" s="150">
        <f>(0.3*P79)+(0.25*R79)+(0.2*G79)+(0.15*U79)+(0.1*Y79)</f>
        <v>33.365000000000002</v>
      </c>
      <c r="AF79" s="150">
        <f>((U79+G79)-V79)*_xlfn.PERCENTRANK.INC($V$2:$V$151,V79)</f>
        <v>5.2115999999999998</v>
      </c>
      <c r="AG79" s="150">
        <f>(0.35*I79)+(0.2*K79)+(0.15*O79)+(0.15+X79)+(0.15+W79)</f>
        <v>9.9250000000000007</v>
      </c>
      <c r="AH79" s="297">
        <f>(AE79*0.4)+(AF79*0.3)+(AG79*0.3)</f>
        <v>17.886980000000001</v>
      </c>
      <c r="AI79" s="3" t="s">
        <v>345</v>
      </c>
    </row>
    <row r="80" spans="1:35" ht="15" thickBot="1" x14ac:dyDescent="0.35">
      <c r="A80" s="2" t="s">
        <v>48</v>
      </c>
      <c r="B80" s="3" t="s">
        <v>196</v>
      </c>
      <c r="C80" s="3" t="s">
        <v>197</v>
      </c>
      <c r="D80" s="3" t="s">
        <v>62</v>
      </c>
      <c r="E80" s="3">
        <v>20</v>
      </c>
      <c r="F80" s="2">
        <v>76.2</v>
      </c>
      <c r="G80" s="4">
        <v>5.5</v>
      </c>
      <c r="H80" s="63">
        <v>3.6</v>
      </c>
      <c r="I80" s="17">
        <v>8.1999999999999993</v>
      </c>
      <c r="J80" s="10">
        <v>6.8</v>
      </c>
      <c r="K80" s="81">
        <v>1.4</v>
      </c>
      <c r="L80" s="7">
        <v>117.8</v>
      </c>
      <c r="M80" s="3">
        <f t="shared" si="2"/>
        <v>14.7</v>
      </c>
      <c r="N80" s="2">
        <v>103.4</v>
      </c>
      <c r="O80" s="3">
        <f>100-(_xlfn.PERCENTRANK.INC($N$2:$N$151,N80)*100)</f>
        <v>39</v>
      </c>
      <c r="P80" s="10">
        <v>30.1</v>
      </c>
      <c r="Q80" s="2">
        <v>47.6</v>
      </c>
      <c r="R80" s="2">
        <v>55.1</v>
      </c>
      <c r="S80" s="227">
        <v>2.7</v>
      </c>
      <c r="T80" s="2">
        <v>9.9</v>
      </c>
      <c r="U80" s="61">
        <v>22.6</v>
      </c>
      <c r="V80" s="82">
        <v>9.4</v>
      </c>
      <c r="W80" s="2">
        <v>1</v>
      </c>
      <c r="X80" s="124">
        <v>2.5</v>
      </c>
      <c r="Y80" s="166">
        <v>50.2</v>
      </c>
      <c r="Z80" s="157">
        <v>1.8</v>
      </c>
      <c r="AA80" s="150">
        <v>81.899999999999991</v>
      </c>
      <c r="AB80" s="150">
        <v>49.5</v>
      </c>
      <c r="AC80" s="205">
        <v>10.4</v>
      </c>
      <c r="AD80" s="150">
        <v>29.799999999999997</v>
      </c>
      <c r="AE80" s="150">
        <f>(0.3*P80)+(0.25*R80)+(0.2*G80)+(0.15*U80)+(0.1*Y80)</f>
        <v>32.315000000000005</v>
      </c>
      <c r="AF80" s="150">
        <f>((U80+G80)-V80)*_xlfn.PERCENTRANK.INC($V$2:$V$151,V80)</f>
        <v>2.7489000000000003</v>
      </c>
      <c r="AG80" s="150">
        <f>(0.35*I80)+(0.2*K80)+(0.15*O80)+(0.15+X80)+(0.15+W80)</f>
        <v>12.8</v>
      </c>
      <c r="AH80" s="297">
        <f>(AE80*0.4)+(AF80*0.3)+(AG80*0.3)</f>
        <v>17.590670000000003</v>
      </c>
      <c r="AI80" s="3" t="s">
        <v>345</v>
      </c>
    </row>
    <row r="81" spans="1:35" ht="15" thickBot="1" x14ac:dyDescent="0.35">
      <c r="A81" s="2" t="s">
        <v>52</v>
      </c>
      <c r="B81" s="3" t="s">
        <v>198</v>
      </c>
      <c r="C81" s="3" t="s">
        <v>199</v>
      </c>
      <c r="D81" s="3" t="s">
        <v>200</v>
      </c>
      <c r="E81" s="3">
        <v>18</v>
      </c>
      <c r="F81" s="2">
        <v>84.4</v>
      </c>
      <c r="G81" s="58">
        <v>5.2</v>
      </c>
      <c r="H81" s="124">
        <v>2.9</v>
      </c>
      <c r="I81" s="11">
        <v>7</v>
      </c>
      <c r="J81" s="5">
        <v>7.3</v>
      </c>
      <c r="K81" s="2">
        <v>-0.3</v>
      </c>
      <c r="L81" s="10">
        <v>128.30000000000001</v>
      </c>
      <c r="M81" s="3">
        <f t="shared" si="2"/>
        <v>73.8</v>
      </c>
      <c r="N81" s="250">
        <v>109.7</v>
      </c>
      <c r="O81" s="3">
        <f>100-(_xlfn.PERCENTRANK.INC($N$2:$N$151,N81)*100)</f>
        <v>17.5</v>
      </c>
      <c r="P81" s="180">
        <v>25.7</v>
      </c>
      <c r="Q81" s="63">
        <v>59.2</v>
      </c>
      <c r="R81" s="11">
        <v>63.8</v>
      </c>
      <c r="S81" s="72">
        <v>9.3000000000000007</v>
      </c>
      <c r="T81" s="61">
        <v>17.899999999999999</v>
      </c>
      <c r="U81" s="180">
        <v>23.3</v>
      </c>
      <c r="V81" s="251">
        <v>15.8</v>
      </c>
      <c r="W81" s="184">
        <v>0.4</v>
      </c>
      <c r="X81" s="193">
        <v>1</v>
      </c>
      <c r="Y81" s="14">
        <v>42.7</v>
      </c>
      <c r="Z81" s="170">
        <v>2.1</v>
      </c>
      <c r="AA81" s="150">
        <v>81.8</v>
      </c>
      <c r="AB81" s="150">
        <v>51</v>
      </c>
      <c r="AC81" s="14">
        <v>6.1</v>
      </c>
      <c r="AD81" s="150">
        <v>52.5</v>
      </c>
      <c r="AE81" s="150">
        <f>(0.3*P81)+(0.25*R81)+(0.2*G81)+(0.15*U81)+(0.1*Y81)</f>
        <v>32.464999999999996</v>
      </c>
      <c r="AF81" s="150">
        <f>((U81+G81)-V81)*_xlfn.PERCENTRANK.INC($V$2:$V$151,V81)</f>
        <v>8.9407999999999994</v>
      </c>
      <c r="AG81" s="150">
        <f>(0.35*I81)+(0.2*K81)+(0.15*O81)+(0.15+X81)+(0.15+W81)</f>
        <v>6.714999999999999</v>
      </c>
      <c r="AH81" s="297">
        <f>(AE81*0.4)+(AF81*0.3)+(AG81*0.3)</f>
        <v>17.682739999999999</v>
      </c>
      <c r="AI81" s="3" t="s">
        <v>345</v>
      </c>
    </row>
    <row r="82" spans="1:35" ht="15" thickBot="1" x14ac:dyDescent="0.35">
      <c r="A82" s="2" t="s">
        <v>52</v>
      </c>
      <c r="B82" s="3" t="s">
        <v>201</v>
      </c>
      <c r="C82" s="3" t="s">
        <v>74</v>
      </c>
      <c r="D82" s="3" t="s">
        <v>75</v>
      </c>
      <c r="E82" s="3">
        <v>22</v>
      </c>
      <c r="F82" s="2">
        <v>79.8</v>
      </c>
      <c r="G82" s="151">
        <v>4.4000000000000004</v>
      </c>
      <c r="H82" s="5">
        <v>4.5999999999999996</v>
      </c>
      <c r="I82" s="17">
        <v>7.9</v>
      </c>
      <c r="J82" s="11">
        <v>5.2</v>
      </c>
      <c r="K82" s="180">
        <v>2.8</v>
      </c>
      <c r="L82" s="79">
        <v>121</v>
      </c>
      <c r="M82" s="3">
        <f t="shared" ref="M82:M145" si="3">(_xlfn.PERCENTRANK.INC($L$17:$L$166,L82)*100)</f>
        <v>35.5</v>
      </c>
      <c r="N82" s="12">
        <v>92.8</v>
      </c>
      <c r="O82" s="3">
        <f>100-(_xlfn.PERCENTRANK.INC($N$2:$N$151,N82)*100)</f>
        <v>81.3</v>
      </c>
      <c r="P82" s="2">
        <v>21.9</v>
      </c>
      <c r="Q82" s="145">
        <v>57.9</v>
      </c>
      <c r="R82" s="17">
        <v>64.599999999999994</v>
      </c>
      <c r="S82" s="81">
        <v>7.7</v>
      </c>
      <c r="T82" s="70">
        <v>15.3</v>
      </c>
      <c r="U82" s="2">
        <v>12.5</v>
      </c>
      <c r="V82" s="2">
        <v>17.399999999999999</v>
      </c>
      <c r="W82" s="2">
        <v>1.4</v>
      </c>
      <c r="X82" s="184">
        <v>1.4</v>
      </c>
      <c r="Y82" s="139">
        <v>55.6</v>
      </c>
      <c r="Z82" s="185">
        <v>2.6</v>
      </c>
      <c r="AA82" s="150">
        <v>85.3</v>
      </c>
      <c r="AB82" s="150">
        <v>51.300000000000004</v>
      </c>
      <c r="AC82" s="14">
        <v>6.9</v>
      </c>
      <c r="AD82" s="150">
        <v>44.6</v>
      </c>
      <c r="AE82" s="150">
        <f>(0.3*P82)+(0.25*R82)+(0.2*G82)+(0.15*U82)+(0.1*Y82)</f>
        <v>31.034999999999997</v>
      </c>
      <c r="AF82" s="150">
        <f>((U82+G82)-V82)*_xlfn.PERCENTRANK.INC($V$2:$V$151,V82)</f>
        <v>-0.42249999999999999</v>
      </c>
      <c r="AG82" s="150">
        <f>(0.35*I82)+(0.2*K82)+(0.15*O82)+(0.15+X82)+(0.15+W82)</f>
        <v>18.62</v>
      </c>
      <c r="AH82" s="297">
        <f>(AE82*0.4)+(AF82*0.3)+(AG82*0.3)</f>
        <v>17.873249999999999</v>
      </c>
      <c r="AI82" s="3" t="s">
        <v>345</v>
      </c>
    </row>
    <row r="83" spans="1:35" ht="15" thickBot="1" x14ac:dyDescent="0.35">
      <c r="A83" s="2" t="s">
        <v>52</v>
      </c>
      <c r="B83" s="3" t="s">
        <v>202</v>
      </c>
      <c r="C83" s="3" t="s">
        <v>203</v>
      </c>
      <c r="D83" s="3" t="s">
        <v>80</v>
      </c>
      <c r="E83" s="3">
        <v>21</v>
      </c>
      <c r="F83" s="2">
        <v>83.4</v>
      </c>
      <c r="G83" s="4">
        <v>5.2</v>
      </c>
      <c r="H83" s="79">
        <v>3.8</v>
      </c>
      <c r="I83" s="79">
        <v>6.4</v>
      </c>
      <c r="J83" s="17">
        <v>5.7</v>
      </c>
      <c r="K83" s="2">
        <v>0.7</v>
      </c>
      <c r="L83" s="17">
        <v>125.3</v>
      </c>
      <c r="M83" s="3">
        <f t="shared" si="3"/>
        <v>57.699999999999996</v>
      </c>
      <c r="N83" s="2">
        <v>103.1</v>
      </c>
      <c r="O83" s="3">
        <f>100-(_xlfn.PERCENTRANK.INC($N$2:$N$151,N83)*100)</f>
        <v>40.300000000000004</v>
      </c>
      <c r="P83" s="61">
        <v>25.3</v>
      </c>
      <c r="Q83" s="145">
        <v>58.1</v>
      </c>
      <c r="R83" s="17">
        <v>64.599999999999994</v>
      </c>
      <c r="S83" s="2">
        <v>6.7</v>
      </c>
      <c r="T83" s="2">
        <v>12.1</v>
      </c>
      <c r="U83" s="2">
        <v>16.600000000000001</v>
      </c>
      <c r="V83" s="12">
        <v>11.8</v>
      </c>
      <c r="W83" s="162">
        <v>0.3</v>
      </c>
      <c r="X83" s="184">
        <v>1.4</v>
      </c>
      <c r="Y83" s="249">
        <v>66.3</v>
      </c>
      <c r="Z83" s="14">
        <v>3.2</v>
      </c>
      <c r="AA83" s="150">
        <v>81</v>
      </c>
      <c r="AB83" s="150">
        <v>58.5</v>
      </c>
      <c r="AC83" s="215">
        <v>8.6</v>
      </c>
      <c r="AD83" s="150">
        <v>38.5</v>
      </c>
      <c r="AE83" s="150">
        <f>(0.3*P83)+(0.25*R83)+(0.2*G83)+(0.15*U83)+(0.1*Y83)</f>
        <v>33.9</v>
      </c>
      <c r="AF83" s="150">
        <f>((U83+G83)-V83)*_xlfn.PERCENTRANK.INC($V$2:$V$151,V83)</f>
        <v>3.08</v>
      </c>
      <c r="AG83" s="150">
        <f>(0.35*I83)+(0.2*K83)+(0.15*O83)+(0.15+X83)+(0.15+W83)</f>
        <v>10.425000000000001</v>
      </c>
      <c r="AH83" s="297">
        <f>(AE83*0.4)+(AF83*0.3)+(AG83*0.3)</f>
        <v>17.611499999999999</v>
      </c>
      <c r="AI83" s="3" t="s">
        <v>345</v>
      </c>
    </row>
    <row r="84" spans="1:35" ht="15" thickBot="1" x14ac:dyDescent="0.35">
      <c r="A84" s="2" t="s">
        <v>52</v>
      </c>
      <c r="B84" s="3" t="s">
        <v>204</v>
      </c>
      <c r="C84" s="3" t="s">
        <v>205</v>
      </c>
      <c r="D84" s="3" t="s">
        <v>80</v>
      </c>
      <c r="E84" s="3">
        <v>21</v>
      </c>
      <c r="F84" s="2">
        <v>89.6</v>
      </c>
      <c r="G84" s="4">
        <v>6.7</v>
      </c>
      <c r="H84" s="10">
        <v>4.0999999999999996</v>
      </c>
      <c r="I84" s="5">
        <v>10.6</v>
      </c>
      <c r="J84" s="5">
        <v>8</v>
      </c>
      <c r="K84" s="80">
        <v>2.6</v>
      </c>
      <c r="L84" s="5">
        <v>137.5</v>
      </c>
      <c r="M84" s="3">
        <f t="shared" si="3"/>
        <v>92.600000000000009</v>
      </c>
      <c r="N84" s="2">
        <v>101.1</v>
      </c>
      <c r="O84" s="3">
        <f>100-(_xlfn.PERCENTRANK.INC($N$2:$N$151,N84)*100)</f>
        <v>47.699999999999996</v>
      </c>
      <c r="P84" s="2">
        <v>21.6</v>
      </c>
      <c r="Q84" s="17">
        <v>63.1</v>
      </c>
      <c r="R84" s="10">
        <v>66.8</v>
      </c>
      <c r="S84" s="227">
        <v>2.7</v>
      </c>
      <c r="T84" s="2">
        <v>14.2</v>
      </c>
      <c r="U84" s="124">
        <v>19.3</v>
      </c>
      <c r="V84" s="82">
        <v>9.3000000000000007</v>
      </c>
      <c r="W84" s="2">
        <v>0.8</v>
      </c>
      <c r="X84" s="2">
        <v>2.2000000000000002</v>
      </c>
      <c r="Y84" s="14">
        <v>37.299999999999997</v>
      </c>
      <c r="Z84" s="177">
        <v>1.9</v>
      </c>
      <c r="AA84" s="150">
        <v>83.5</v>
      </c>
      <c r="AB84" s="150">
        <v>64.2</v>
      </c>
      <c r="AC84" s="14">
        <v>7.6</v>
      </c>
      <c r="AD84" s="150">
        <v>40.799999999999997</v>
      </c>
      <c r="AE84" s="150">
        <f>(0.3*P84)+(0.25*R84)+(0.2*G84)+(0.15*U84)+(0.1*Y84)</f>
        <v>31.145</v>
      </c>
      <c r="AF84" s="150">
        <f>((U84+G84)-V84)*_xlfn.PERCENTRANK.INC($V$2:$V$151,V84)</f>
        <v>2.1208999999999998</v>
      </c>
      <c r="AG84" s="150">
        <f>(0.35*I84)+(0.2*K84)+(0.15*O84)+(0.15+X84)+(0.15+W84)</f>
        <v>14.684999999999997</v>
      </c>
      <c r="AH84" s="297">
        <f>(AE84*0.4)+(AF84*0.3)+(AG84*0.3)</f>
        <v>17.499769999999998</v>
      </c>
      <c r="AI84" s="3" t="s">
        <v>345</v>
      </c>
    </row>
    <row r="85" spans="1:35" ht="15" thickBot="1" x14ac:dyDescent="0.35">
      <c r="A85" s="2" t="s">
        <v>52</v>
      </c>
      <c r="B85" s="3" t="s">
        <v>206</v>
      </c>
      <c r="C85" s="3" t="s">
        <v>61</v>
      </c>
      <c r="D85" s="3" t="s">
        <v>62</v>
      </c>
      <c r="E85" s="3">
        <v>20</v>
      </c>
      <c r="F85" s="2">
        <v>71.3</v>
      </c>
      <c r="G85" s="69">
        <v>4.3</v>
      </c>
      <c r="H85" s="10">
        <v>4.2</v>
      </c>
      <c r="I85" s="17">
        <v>8</v>
      </c>
      <c r="J85" s="17">
        <v>5.8</v>
      </c>
      <c r="K85" s="206">
        <v>2.2000000000000002</v>
      </c>
      <c r="L85" s="6">
        <v>117.4</v>
      </c>
      <c r="M85" s="3">
        <f t="shared" si="3"/>
        <v>14.000000000000002</v>
      </c>
      <c r="N85" s="192">
        <v>94.2</v>
      </c>
      <c r="O85" s="3">
        <f>100-(_xlfn.PERCENTRANK.INC($N$2:$N$151,N85)*100)</f>
        <v>75.2</v>
      </c>
      <c r="P85" s="7">
        <v>27</v>
      </c>
      <c r="Q85" s="2">
        <v>52.4</v>
      </c>
      <c r="R85" s="81">
        <v>56.8</v>
      </c>
      <c r="S85" s="227">
        <v>2.8</v>
      </c>
      <c r="T85" s="2">
        <v>14.7</v>
      </c>
      <c r="U85" s="2">
        <v>16.100000000000001</v>
      </c>
      <c r="V85" s="144">
        <v>11.7</v>
      </c>
      <c r="W85" s="2">
        <v>0.6</v>
      </c>
      <c r="X85" s="124">
        <v>2.5</v>
      </c>
      <c r="Y85" s="14">
        <v>30.4</v>
      </c>
      <c r="Z85" s="188">
        <v>4.0999999999999996</v>
      </c>
      <c r="AA85" s="150">
        <v>83.1</v>
      </c>
      <c r="AB85" s="150">
        <v>49.4</v>
      </c>
      <c r="AC85" s="132">
        <v>18.899999999999999</v>
      </c>
      <c r="AD85" s="150">
        <v>35.799999999999997</v>
      </c>
      <c r="AE85" s="150">
        <f>(0.3*P85)+(0.25*R85)+(0.2*G85)+(0.15*U85)+(0.1*Y85)</f>
        <v>28.614999999999995</v>
      </c>
      <c r="AF85" s="150">
        <f>((U85+G85)-V85)*_xlfn.PERCENTRANK.INC($V$2:$V$151,V85)</f>
        <v>2.6274000000000006</v>
      </c>
      <c r="AG85" s="150">
        <f>(0.35*I85)+(0.2*K85)+(0.15*O85)+(0.15+X85)+(0.15+W85)</f>
        <v>17.919999999999998</v>
      </c>
      <c r="AH85" s="297">
        <f>(AE85*0.4)+(AF85*0.3)+(AG85*0.3)</f>
        <v>17.610219999999998</v>
      </c>
      <c r="AI85" s="3" t="s">
        <v>345</v>
      </c>
    </row>
    <row r="86" spans="1:35" ht="15" thickBot="1" x14ac:dyDescent="0.35">
      <c r="A86" s="2" t="s">
        <v>34</v>
      </c>
      <c r="B86" s="3" t="s">
        <v>207</v>
      </c>
      <c r="C86" s="3" t="s">
        <v>208</v>
      </c>
      <c r="D86" s="3" t="s">
        <v>75</v>
      </c>
      <c r="E86" s="3">
        <v>21</v>
      </c>
      <c r="F86" s="2">
        <v>79.8</v>
      </c>
      <c r="G86" s="58">
        <v>4.8</v>
      </c>
      <c r="H86" s="2">
        <v>2.6</v>
      </c>
      <c r="I86" s="7">
        <v>5.3</v>
      </c>
      <c r="J86" s="17">
        <v>5.4</v>
      </c>
      <c r="K86" s="2">
        <v>-0.1</v>
      </c>
      <c r="L86" s="61">
        <v>114.1</v>
      </c>
      <c r="M86" s="3">
        <f t="shared" si="3"/>
        <v>6</v>
      </c>
      <c r="N86" s="129">
        <v>110.8</v>
      </c>
      <c r="O86" s="3">
        <f>100-(_xlfn.PERCENTRANK.INC($N$2:$N$151,N86)*100)</f>
        <v>12.799999999999997</v>
      </c>
      <c r="P86" s="5">
        <v>32.4</v>
      </c>
      <c r="Q86" s="2">
        <v>51.3</v>
      </c>
      <c r="R86" s="81">
        <v>56.8</v>
      </c>
      <c r="S86" s="186">
        <v>1</v>
      </c>
      <c r="T86" s="209">
        <v>6.1</v>
      </c>
      <c r="U86" s="63">
        <v>26</v>
      </c>
      <c r="V86" s="178">
        <v>12.2</v>
      </c>
      <c r="W86" s="184">
        <v>0.4</v>
      </c>
      <c r="X86" s="80">
        <v>2.9</v>
      </c>
      <c r="Y86" s="14">
        <v>43.8</v>
      </c>
      <c r="Z86" s="207">
        <v>2.2000000000000002</v>
      </c>
      <c r="AA86" s="150">
        <v>79.100000000000009</v>
      </c>
      <c r="AB86" s="150">
        <v>49.8</v>
      </c>
      <c r="AC86" s="14">
        <v>6.5</v>
      </c>
      <c r="AD86" s="150">
        <v>37.700000000000003</v>
      </c>
      <c r="AE86" s="150">
        <f>(0.3*P86)+(0.25*R86)+(0.2*G86)+(0.15*U86)+(0.1*Y86)</f>
        <v>33.159999999999997</v>
      </c>
      <c r="AF86" s="150">
        <f>((U86+G86)-V86)*_xlfn.PERCENTRANK.INC($V$2:$V$151,V86)</f>
        <v>6.6029999999999998</v>
      </c>
      <c r="AG86" s="150">
        <f>(0.35*I86)+(0.2*K86)+(0.15*O86)+(0.15+X86)+(0.15+W86)</f>
        <v>7.3549999999999986</v>
      </c>
      <c r="AH86" s="297">
        <f>(AE86*0.4)+(AF86*0.3)+(AG86*0.3)</f>
        <v>17.4514</v>
      </c>
      <c r="AI86" s="3" t="s">
        <v>345</v>
      </c>
    </row>
    <row r="87" spans="1:35" ht="15" thickBot="1" x14ac:dyDescent="0.35">
      <c r="A87" s="2" t="s">
        <v>34</v>
      </c>
      <c r="B87" s="3" t="s">
        <v>209</v>
      </c>
      <c r="C87" s="3" t="s">
        <v>146</v>
      </c>
      <c r="D87" s="3" t="s">
        <v>147</v>
      </c>
      <c r="E87" s="3">
        <v>18</v>
      </c>
      <c r="F87" s="2">
        <v>49.4</v>
      </c>
      <c r="G87" s="58">
        <v>4.7</v>
      </c>
      <c r="H87" s="59">
        <v>3.7</v>
      </c>
      <c r="I87" s="5">
        <v>10.3</v>
      </c>
      <c r="J87" s="5">
        <v>8</v>
      </c>
      <c r="K87" s="206">
        <v>2.2000000000000002</v>
      </c>
      <c r="L87" s="5">
        <v>135.4</v>
      </c>
      <c r="M87" s="3">
        <f t="shared" si="3"/>
        <v>88.5</v>
      </c>
      <c r="N87" s="144">
        <v>92.4</v>
      </c>
      <c r="O87" s="3">
        <f>100-(_xlfn.PERCENTRANK.INC($N$2:$N$151,N87)*100)</f>
        <v>82.6</v>
      </c>
      <c r="P87" s="175">
        <v>24.5</v>
      </c>
      <c r="Q87" s="5">
        <v>67.8</v>
      </c>
      <c r="R87" s="10">
        <v>67.2</v>
      </c>
      <c r="S87" s="11">
        <v>12.2</v>
      </c>
      <c r="T87" s="2">
        <v>11.7</v>
      </c>
      <c r="U87" s="2">
        <v>11.4</v>
      </c>
      <c r="V87" s="18">
        <v>8.4</v>
      </c>
      <c r="W87" s="2">
        <v>2.4</v>
      </c>
      <c r="X87" s="193">
        <v>1</v>
      </c>
      <c r="Y87" s="252">
        <v>18.3</v>
      </c>
      <c r="Z87" s="253">
        <v>3.9</v>
      </c>
      <c r="AA87" s="150">
        <v>57.499999999999993</v>
      </c>
      <c r="AB87" s="150">
        <v>69.699999999999989</v>
      </c>
      <c r="AC87" s="254">
        <v>2.5</v>
      </c>
      <c r="AD87" s="150">
        <v>33.300000000000004</v>
      </c>
      <c r="AE87" s="150">
        <f>(0.3*P87)+(0.25*R87)+(0.2*G87)+(0.15*U87)+(0.1*Y87)</f>
        <v>28.630000000000003</v>
      </c>
      <c r="AF87" s="150">
        <f>((U87+G87)-V87)*_xlfn.PERCENTRANK.INC($V$2:$V$151,V87)</f>
        <v>0.56210000000000004</v>
      </c>
      <c r="AG87" s="150">
        <f>(0.35*I87)+(0.2*K87)+(0.15*O87)+(0.15+X87)+(0.15+W87)</f>
        <v>20.134999999999998</v>
      </c>
      <c r="AH87" s="297">
        <f>(AE87*0.4)+(AF87*0.3)+(AG87*0.3)</f>
        <v>17.66113</v>
      </c>
      <c r="AI87" s="3" t="s">
        <v>345</v>
      </c>
    </row>
    <row r="88" spans="1:35" ht="15" thickBot="1" x14ac:dyDescent="0.35">
      <c r="A88" s="2" t="s">
        <v>52</v>
      </c>
      <c r="B88" s="3" t="s">
        <v>210</v>
      </c>
      <c r="C88" s="3" t="s">
        <v>84</v>
      </c>
      <c r="D88" s="3" t="s">
        <v>80</v>
      </c>
      <c r="E88" s="3">
        <v>20</v>
      </c>
      <c r="F88" s="2">
        <v>61.1</v>
      </c>
      <c r="G88" s="69">
        <v>4.2</v>
      </c>
      <c r="H88" s="59">
        <v>3.6</v>
      </c>
      <c r="I88" s="11">
        <v>7.1</v>
      </c>
      <c r="J88" s="11">
        <v>5</v>
      </c>
      <c r="K88" s="175">
        <v>2.1</v>
      </c>
      <c r="L88" s="11">
        <v>121.7</v>
      </c>
      <c r="M88" s="3">
        <f t="shared" si="3"/>
        <v>38.9</v>
      </c>
      <c r="N88" s="62">
        <v>95.1</v>
      </c>
      <c r="O88" s="3">
        <f>100-(_xlfn.PERCENTRANK.INC($N$2:$N$151,N88)*100)</f>
        <v>72.5</v>
      </c>
      <c r="P88" s="161">
        <v>25</v>
      </c>
      <c r="Q88" s="80">
        <v>57.1</v>
      </c>
      <c r="R88" s="19">
        <v>57.9</v>
      </c>
      <c r="S88" s="5">
        <v>15.2</v>
      </c>
      <c r="T88" s="17">
        <v>22.5</v>
      </c>
      <c r="U88" s="60">
        <v>18.3</v>
      </c>
      <c r="V88" s="216">
        <v>14.3</v>
      </c>
      <c r="W88" s="2">
        <v>0.9</v>
      </c>
      <c r="X88" s="147">
        <v>1.1000000000000001</v>
      </c>
      <c r="Y88" s="182">
        <v>26</v>
      </c>
      <c r="Z88" s="14">
        <v>3</v>
      </c>
      <c r="AA88" s="150">
        <v>60.8</v>
      </c>
      <c r="AB88" s="150">
        <v>58.3</v>
      </c>
      <c r="AC88" s="255">
        <v>1</v>
      </c>
      <c r="AD88" s="150">
        <v>22.2</v>
      </c>
      <c r="AE88" s="150">
        <f>(0.3*P88)+(0.25*R88)+(0.2*G88)+(0.15*U88)+(0.1*Y88)</f>
        <v>28.160000000000004</v>
      </c>
      <c r="AF88" s="150">
        <f>((U88+G88)-V88)*_xlfn.PERCENTRANK.INC($V$2:$V$151,V88)</f>
        <v>4.7805999999999989</v>
      </c>
      <c r="AG88" s="150">
        <f>(0.35*I88)+(0.2*K88)+(0.15*O88)+(0.15+X88)+(0.15+W88)</f>
        <v>16.079999999999998</v>
      </c>
      <c r="AH88" s="297">
        <f>(AE88*0.4)+(AF88*0.3)+(AG88*0.3)</f>
        <v>17.522180000000002</v>
      </c>
      <c r="AI88" s="3" t="s">
        <v>345</v>
      </c>
    </row>
    <row r="89" spans="1:35" ht="15" thickBot="1" x14ac:dyDescent="0.35">
      <c r="A89" s="2" t="s">
        <v>41</v>
      </c>
      <c r="B89" s="3" t="s">
        <v>211</v>
      </c>
      <c r="C89" s="3" t="s">
        <v>212</v>
      </c>
      <c r="D89" s="3" t="s">
        <v>75</v>
      </c>
      <c r="E89" s="3">
        <v>20</v>
      </c>
      <c r="F89" s="2">
        <v>81.2</v>
      </c>
      <c r="G89" s="58">
        <v>4.9000000000000004</v>
      </c>
      <c r="H89" s="7">
        <v>3.5</v>
      </c>
      <c r="I89" s="10">
        <v>8.4</v>
      </c>
      <c r="J89" s="10">
        <v>6.8</v>
      </c>
      <c r="K89" s="223">
        <v>1.7</v>
      </c>
      <c r="L89" s="79">
        <v>121.4</v>
      </c>
      <c r="M89" s="3">
        <f t="shared" si="3"/>
        <v>36.9</v>
      </c>
      <c r="N89" s="2">
        <v>103</v>
      </c>
      <c r="O89" s="3">
        <f>100-(_xlfn.PERCENTRANK.INC($N$2:$N$151,N89)*100)</f>
        <v>41</v>
      </c>
      <c r="P89" s="175">
        <v>24.6</v>
      </c>
      <c r="Q89" s="63">
        <v>59.4</v>
      </c>
      <c r="R89" s="79">
        <v>63.3</v>
      </c>
      <c r="S89" s="64">
        <v>2.5</v>
      </c>
      <c r="T89" s="19">
        <v>16.5</v>
      </c>
      <c r="U89" s="2">
        <v>13.4</v>
      </c>
      <c r="V89" s="2">
        <v>16.3</v>
      </c>
      <c r="W89" s="161">
        <v>4.0999999999999996</v>
      </c>
      <c r="X89" s="2">
        <v>1.7</v>
      </c>
      <c r="Y89" s="14">
        <v>44.9</v>
      </c>
      <c r="Z89" s="232">
        <v>2</v>
      </c>
      <c r="AA89" s="150">
        <v>77.2</v>
      </c>
      <c r="AB89" s="150">
        <v>58.599999999999994</v>
      </c>
      <c r="AC89" s="256">
        <v>9.5</v>
      </c>
      <c r="AD89" s="150">
        <v>40.400000000000006</v>
      </c>
      <c r="AE89" s="150">
        <f>(0.3*P89)+(0.25*R89)+(0.2*G89)+(0.15*U89)+(0.1*Y89)</f>
        <v>30.685000000000002</v>
      </c>
      <c r="AF89" s="150">
        <f>((U89+G89)-V89)*_xlfn.PERCENTRANK.INC($V$2:$V$151,V89)</f>
        <v>1.516</v>
      </c>
      <c r="AG89" s="150">
        <f>(0.35*I89)+(0.2*K89)+(0.15*O89)+(0.15+X89)+(0.15+W89)</f>
        <v>15.53</v>
      </c>
      <c r="AH89" s="297">
        <f>(AE89*0.4)+(AF89*0.3)+(AG89*0.3)</f>
        <v>17.387800000000002</v>
      </c>
      <c r="AI89" s="3" t="s">
        <v>345</v>
      </c>
    </row>
    <row r="90" spans="1:35" ht="15" thickBot="1" x14ac:dyDescent="0.35">
      <c r="A90" s="2" t="s">
        <v>41</v>
      </c>
      <c r="B90" s="3" t="s">
        <v>213</v>
      </c>
      <c r="C90" s="3" t="s">
        <v>214</v>
      </c>
      <c r="D90" s="3" t="s">
        <v>59</v>
      </c>
      <c r="E90" s="3">
        <v>16</v>
      </c>
      <c r="F90" s="2">
        <v>49.1</v>
      </c>
      <c r="G90" s="257">
        <v>3.7</v>
      </c>
      <c r="H90" s="2">
        <v>2.4</v>
      </c>
      <c r="I90" s="11">
        <v>7.1</v>
      </c>
      <c r="J90" s="17">
        <v>5.8</v>
      </c>
      <c r="K90" s="60">
        <v>1.3</v>
      </c>
      <c r="L90" s="10">
        <v>128.5</v>
      </c>
      <c r="M90" s="3">
        <f t="shared" si="3"/>
        <v>75.8</v>
      </c>
      <c r="N90" s="2">
        <v>107.5</v>
      </c>
      <c r="O90" s="3">
        <f>100-(_xlfn.PERCENTRANK.INC($N$2:$N$151,N90)*100)</f>
        <v>23.5</v>
      </c>
      <c r="P90" s="2">
        <v>22.7</v>
      </c>
      <c r="Q90" s="5">
        <v>66.400000000000006</v>
      </c>
      <c r="R90" s="5">
        <v>69.5</v>
      </c>
      <c r="S90" s="2">
        <v>6</v>
      </c>
      <c r="T90" s="161">
        <v>17.399999999999999</v>
      </c>
      <c r="U90" s="163">
        <v>19.2</v>
      </c>
      <c r="V90" s="2">
        <v>17.399999999999999</v>
      </c>
      <c r="W90" s="2">
        <v>2.2999999999999998</v>
      </c>
      <c r="X90" s="2">
        <v>2</v>
      </c>
      <c r="Y90" s="14">
        <v>39.200000000000003</v>
      </c>
      <c r="Z90" s="14">
        <v>3.4</v>
      </c>
      <c r="AA90" s="150">
        <v>81.599999999999994</v>
      </c>
      <c r="AB90" s="150">
        <v>63.800000000000004</v>
      </c>
      <c r="AC90" s="68">
        <v>8.5</v>
      </c>
      <c r="AD90" s="150">
        <v>46.400000000000006</v>
      </c>
      <c r="AE90" s="150">
        <f>(0.3*P90)+(0.25*R90)+(0.2*G90)+(0.15*U90)+(0.1*Y90)</f>
        <v>31.724999999999998</v>
      </c>
      <c r="AF90" s="150">
        <f>((U90+G90)-V90)*_xlfn.PERCENTRANK.INC($V$2:$V$151,V90)</f>
        <v>4.6475</v>
      </c>
      <c r="AG90" s="150">
        <f>(0.35*I90)+(0.2*K90)+(0.15*O90)+(0.15+X90)+(0.15+W90)</f>
        <v>10.87</v>
      </c>
      <c r="AH90" s="297">
        <f>(AE90*0.4)+(AF90*0.3)+(AG90*0.3)</f>
        <v>17.34525</v>
      </c>
      <c r="AI90" s="3" t="s">
        <v>345</v>
      </c>
    </row>
    <row r="91" spans="1:35" ht="15" thickBot="1" x14ac:dyDescent="0.35">
      <c r="A91" s="2" t="s">
        <v>34</v>
      </c>
      <c r="B91" s="3" t="s">
        <v>215</v>
      </c>
      <c r="C91" s="3" t="s">
        <v>186</v>
      </c>
      <c r="D91" s="3" t="s">
        <v>80</v>
      </c>
      <c r="E91" s="3">
        <v>22</v>
      </c>
      <c r="F91" s="2">
        <v>76.099999999999994</v>
      </c>
      <c r="G91" s="58">
        <v>4.8</v>
      </c>
      <c r="H91" s="11">
        <v>3.8</v>
      </c>
      <c r="I91" s="10">
        <v>8.6</v>
      </c>
      <c r="J91" s="10">
        <v>6</v>
      </c>
      <c r="K91" s="61">
        <v>2.5</v>
      </c>
      <c r="L91" s="5">
        <v>134.9</v>
      </c>
      <c r="M91" s="3">
        <f t="shared" si="3"/>
        <v>87.9</v>
      </c>
      <c r="N91" s="258">
        <v>98.2</v>
      </c>
      <c r="O91" s="3">
        <f>100-(_xlfn.PERCENTRANK.INC($N$2:$N$151,N91)*100)</f>
        <v>59.8</v>
      </c>
      <c r="P91" s="2">
        <v>18.399999999999999</v>
      </c>
      <c r="Q91" s="10">
        <v>63.5</v>
      </c>
      <c r="R91" s="10">
        <v>66</v>
      </c>
      <c r="S91" s="206">
        <v>8.9</v>
      </c>
      <c r="T91" s="10">
        <v>23.3</v>
      </c>
      <c r="U91" s="2">
        <v>11.4</v>
      </c>
      <c r="V91" s="82">
        <v>9.1999999999999993</v>
      </c>
      <c r="W91" s="180">
        <v>4.5</v>
      </c>
      <c r="X91" s="147">
        <v>1.1000000000000001</v>
      </c>
      <c r="Y91" s="14">
        <v>41.1</v>
      </c>
      <c r="Z91" s="14">
        <v>3</v>
      </c>
      <c r="AA91" s="150">
        <v>74.7</v>
      </c>
      <c r="AB91" s="150">
        <v>71.8</v>
      </c>
      <c r="AC91" s="14">
        <v>5.7</v>
      </c>
      <c r="AD91" s="150">
        <v>32.4</v>
      </c>
      <c r="AE91" s="150">
        <f>(0.3*P91)+(0.25*R91)+(0.2*G91)+(0.15*U91)+(0.1*Y91)</f>
        <v>28.8</v>
      </c>
      <c r="AF91" s="150">
        <f>((U91+G91)-V91)*_xlfn.PERCENTRANK.INC($V$2:$V$151,V91)</f>
        <v>0.79800000000000004</v>
      </c>
      <c r="AG91" s="150">
        <f>(0.35*I91)+(0.2*K91)+(0.15*O91)+(0.15+X91)+(0.15+W91)</f>
        <v>18.38</v>
      </c>
      <c r="AH91" s="297">
        <f>(AE91*0.4)+(AF91*0.3)+(AG91*0.3)</f>
        <v>17.273400000000002</v>
      </c>
      <c r="AI91" s="3" t="s">
        <v>345</v>
      </c>
    </row>
    <row r="92" spans="1:35" ht="15" thickBot="1" x14ac:dyDescent="0.35">
      <c r="A92" s="2" t="s">
        <v>34</v>
      </c>
      <c r="B92" s="3" t="s">
        <v>216</v>
      </c>
      <c r="C92" s="3" t="s">
        <v>217</v>
      </c>
      <c r="D92" s="3" t="s">
        <v>218</v>
      </c>
      <c r="E92" s="3">
        <v>21</v>
      </c>
      <c r="F92" s="2">
        <v>89.5</v>
      </c>
      <c r="G92" s="158">
        <v>3.9</v>
      </c>
      <c r="H92" s="163">
        <v>2.8</v>
      </c>
      <c r="I92" s="72">
        <v>3.8</v>
      </c>
      <c r="J92" s="63">
        <v>4</v>
      </c>
      <c r="K92" s="2">
        <v>-0.3</v>
      </c>
      <c r="L92" s="206">
        <v>112.7</v>
      </c>
      <c r="M92" s="3">
        <f t="shared" si="3"/>
        <v>3.3000000000000003</v>
      </c>
      <c r="N92" s="247">
        <v>111.4</v>
      </c>
      <c r="O92" s="3">
        <f>100-(_xlfn.PERCENTRANK.INC($N$2:$N$151,N92)*100)</f>
        <v>10.099999999999994</v>
      </c>
      <c r="P92" s="63">
        <v>27.2</v>
      </c>
      <c r="Q92" s="2">
        <v>51.7</v>
      </c>
      <c r="R92" s="61">
        <v>59.5</v>
      </c>
      <c r="S92" s="13">
        <v>3.2</v>
      </c>
      <c r="T92" s="2">
        <v>12.1</v>
      </c>
      <c r="U92" s="179">
        <v>20.6</v>
      </c>
      <c r="V92" s="216">
        <v>14.2</v>
      </c>
      <c r="W92" s="2">
        <v>0.8</v>
      </c>
      <c r="X92" s="145">
        <v>3</v>
      </c>
      <c r="Y92" s="259">
        <v>64.8</v>
      </c>
      <c r="Z92" s="185">
        <v>2.6</v>
      </c>
      <c r="AA92" s="150">
        <v>80.5</v>
      </c>
      <c r="AB92" s="150">
        <v>49</v>
      </c>
      <c r="AC92" s="67">
        <v>8.8000000000000007</v>
      </c>
      <c r="AD92" s="150">
        <v>36.799999999999997</v>
      </c>
      <c r="AE92" s="150">
        <f>(0.3*P92)+(0.25*R92)+(0.2*G92)+(0.15*U92)+(0.1*Y92)</f>
        <v>33.385000000000005</v>
      </c>
      <c r="AF92" s="150">
        <f>((U92+G92)-V92)*_xlfn.PERCENTRANK.INC($V$2:$V$151,V92)</f>
        <v>5.7371000000000008</v>
      </c>
      <c r="AG92" s="150">
        <f>(0.35*I92)+(0.2*K92)+(0.15*O92)+(0.15+X92)+(0.15+W92)</f>
        <v>6.8849999999999989</v>
      </c>
      <c r="AH92" s="297">
        <f>(AE92*0.4)+(AF92*0.3)+(AG92*0.3)</f>
        <v>17.140630000000002</v>
      </c>
      <c r="AI92" s="3" t="s">
        <v>345</v>
      </c>
    </row>
    <row r="93" spans="1:35" ht="15" thickBot="1" x14ac:dyDescent="0.35">
      <c r="A93" s="2" t="s">
        <v>34</v>
      </c>
      <c r="B93" s="3" t="s">
        <v>219</v>
      </c>
      <c r="C93" s="3" t="s">
        <v>220</v>
      </c>
      <c r="D93" s="3" t="s">
        <v>51</v>
      </c>
      <c r="E93" s="3">
        <v>22</v>
      </c>
      <c r="F93" s="2">
        <v>84.7</v>
      </c>
      <c r="G93" s="151">
        <v>4.5999999999999996</v>
      </c>
      <c r="H93" s="5">
        <v>4.8</v>
      </c>
      <c r="I93" s="10">
        <v>9.4</v>
      </c>
      <c r="J93" s="10">
        <v>6.1</v>
      </c>
      <c r="K93" s="7">
        <v>3.3</v>
      </c>
      <c r="L93" s="17">
        <v>124.5</v>
      </c>
      <c r="M93" s="3">
        <f t="shared" si="3"/>
        <v>55.7</v>
      </c>
      <c r="N93" s="178">
        <v>93.1</v>
      </c>
      <c r="O93" s="3">
        <f>100-(_xlfn.PERCENTRANK.INC($N$2:$N$151,N93)*100)</f>
        <v>79.2</v>
      </c>
      <c r="P93" s="2">
        <v>21</v>
      </c>
      <c r="Q93" s="119">
        <v>55.5</v>
      </c>
      <c r="R93" s="161">
        <v>59.1</v>
      </c>
      <c r="S93" s="2">
        <v>7</v>
      </c>
      <c r="T93" s="2">
        <v>12.8</v>
      </c>
      <c r="U93" s="2">
        <v>9.6</v>
      </c>
      <c r="V93" s="168">
        <v>13</v>
      </c>
      <c r="W93" s="2">
        <v>2.6</v>
      </c>
      <c r="X93" s="2">
        <v>1.6</v>
      </c>
      <c r="Y93" s="14">
        <v>41.6</v>
      </c>
      <c r="Z93" s="167">
        <v>2.5</v>
      </c>
      <c r="AA93" s="150">
        <v>73.7</v>
      </c>
      <c r="AB93" s="150">
        <v>58.199999999999996</v>
      </c>
      <c r="AC93" s="166">
        <v>8.9</v>
      </c>
      <c r="AD93" s="150">
        <v>34.699999999999996</v>
      </c>
      <c r="AE93" s="150">
        <f>(0.3*P93)+(0.25*R93)+(0.2*G93)+(0.15*U93)+(0.1*Y93)</f>
        <v>27.594999999999999</v>
      </c>
      <c r="AF93" s="150">
        <f>((U93+G93)-V93)*_xlfn.PERCENTRANK.INC($V$2:$V$151,V93)</f>
        <v>0.52319999999999967</v>
      </c>
      <c r="AG93" s="150">
        <f>(0.35*I93)+(0.2*K93)+(0.15*O93)+(0.15+X93)+(0.15+W93)</f>
        <v>20.330000000000002</v>
      </c>
      <c r="AH93" s="297">
        <f>(AE93*0.4)+(AF93*0.3)+(AG93*0.3)</f>
        <v>17.293959999999998</v>
      </c>
      <c r="AI93" s="3" t="s">
        <v>345</v>
      </c>
    </row>
    <row r="94" spans="1:35" ht="15" thickBot="1" x14ac:dyDescent="0.35">
      <c r="A94" s="2" t="s">
        <v>52</v>
      </c>
      <c r="B94" s="3" t="s">
        <v>221</v>
      </c>
      <c r="C94" s="3" t="s">
        <v>222</v>
      </c>
      <c r="D94" s="3" t="s">
        <v>109</v>
      </c>
      <c r="E94" s="3">
        <v>22</v>
      </c>
      <c r="F94" s="2">
        <v>90.5</v>
      </c>
      <c r="G94" s="158">
        <v>3.9</v>
      </c>
      <c r="H94" s="2">
        <v>2.5</v>
      </c>
      <c r="I94" s="124">
        <v>2.1</v>
      </c>
      <c r="J94" s="180">
        <v>3.1</v>
      </c>
      <c r="K94" s="2">
        <v>-1</v>
      </c>
      <c r="L94" s="63">
        <v>118.5</v>
      </c>
      <c r="M94" s="3">
        <f t="shared" si="3"/>
        <v>20.100000000000001</v>
      </c>
      <c r="N94" s="260">
        <v>114.6</v>
      </c>
      <c r="O94" s="3">
        <f>100-(_xlfn.PERCENTRANK.INC($N$2:$N$151,N94)*100)</f>
        <v>4.7000000000000028</v>
      </c>
      <c r="P94" s="223">
        <v>23.5</v>
      </c>
      <c r="Q94" s="175">
        <v>55.6</v>
      </c>
      <c r="R94" s="7">
        <v>61.7</v>
      </c>
      <c r="S94" s="183">
        <v>1.6</v>
      </c>
      <c r="T94" s="176">
        <v>8</v>
      </c>
      <c r="U94" s="63">
        <v>25.9</v>
      </c>
      <c r="V94" s="2">
        <v>16.7</v>
      </c>
      <c r="W94" s="152">
        <v>0</v>
      </c>
      <c r="X94" s="2">
        <v>1.5</v>
      </c>
      <c r="Y94" s="202">
        <v>57.3</v>
      </c>
      <c r="Z94" s="15">
        <v>1.5</v>
      </c>
      <c r="AA94" s="150">
        <v>79.600000000000009</v>
      </c>
      <c r="AB94" s="150">
        <v>56.999999999999993</v>
      </c>
      <c r="AC94" s="14">
        <v>4.8</v>
      </c>
      <c r="AD94" s="150">
        <v>34.799999999999997</v>
      </c>
      <c r="AE94" s="150">
        <f>(0.3*P94)+(0.25*R94)+(0.2*G94)+(0.15*U94)+(0.1*Y94)</f>
        <v>32.870000000000005</v>
      </c>
      <c r="AF94" s="150">
        <f>((U94+G94)-V94)*_xlfn.PERCENTRANK.INC($V$2:$V$151,V94)</f>
        <v>10.453799999999999</v>
      </c>
      <c r="AG94" s="150">
        <f>(0.35*I94)+(0.2*K94)+(0.15*O94)+(0.15+X94)+(0.15+W94)</f>
        <v>3.04</v>
      </c>
      <c r="AH94" s="297">
        <f>(AE94*0.4)+(AF94*0.3)+(AG94*0.3)</f>
        <v>17.196140000000003</v>
      </c>
      <c r="AI94" s="3" t="s">
        <v>345</v>
      </c>
    </row>
    <row r="95" spans="1:35" ht="15" thickBot="1" x14ac:dyDescent="0.35">
      <c r="A95" s="2" t="s">
        <v>41</v>
      </c>
      <c r="B95" s="3" t="s">
        <v>223</v>
      </c>
      <c r="C95" s="3" t="s">
        <v>224</v>
      </c>
      <c r="D95" s="3" t="s">
        <v>114</v>
      </c>
      <c r="E95" s="3">
        <v>23</v>
      </c>
      <c r="F95" s="2">
        <v>56.6</v>
      </c>
      <c r="G95" s="198">
        <v>4.0999999999999996</v>
      </c>
      <c r="H95" s="2">
        <v>2.2000000000000002</v>
      </c>
      <c r="I95" s="10">
        <v>8.5</v>
      </c>
      <c r="J95" s="5">
        <v>8.3000000000000007</v>
      </c>
      <c r="K95" s="2">
        <v>0.3</v>
      </c>
      <c r="L95" s="5">
        <v>135.6</v>
      </c>
      <c r="M95" s="3">
        <f t="shared" si="3"/>
        <v>89.2</v>
      </c>
      <c r="N95" s="2">
        <v>106.6</v>
      </c>
      <c r="O95" s="3">
        <f>100-(_xlfn.PERCENTRANK.INC($N$2:$N$151,N95)*100)</f>
        <v>25.599999999999994</v>
      </c>
      <c r="P95" s="206">
        <v>24.7</v>
      </c>
      <c r="Q95" s="11">
        <v>61</v>
      </c>
      <c r="R95" s="10">
        <v>66.3</v>
      </c>
      <c r="S95" s="21">
        <v>1.8</v>
      </c>
      <c r="T95" s="2">
        <v>11.8</v>
      </c>
      <c r="U95" s="20">
        <v>24</v>
      </c>
      <c r="V95" s="189">
        <v>10.6</v>
      </c>
      <c r="W95" s="184">
        <v>0.4</v>
      </c>
      <c r="X95" s="2">
        <v>1.5</v>
      </c>
      <c r="Y95" s="14">
        <v>42.6</v>
      </c>
      <c r="Z95" s="14">
        <v>2.9</v>
      </c>
      <c r="AA95" s="150">
        <v>87.6</v>
      </c>
      <c r="AB95" s="150">
        <v>63.4</v>
      </c>
      <c r="AC95" s="22">
        <v>15</v>
      </c>
      <c r="AD95" s="150">
        <v>39.900000000000006</v>
      </c>
      <c r="AE95" s="150">
        <f>(0.3*P95)+(0.25*R95)+(0.2*G95)+(0.15*U95)+(0.1*Y95)</f>
        <v>32.664999999999999</v>
      </c>
      <c r="AF95" s="150">
        <f>((U95+G95)-V95)*_xlfn.PERCENTRANK.INC($V$2:$V$151,V95)</f>
        <v>3.99</v>
      </c>
      <c r="AG95" s="150">
        <f>(0.35*I95)+(0.2*K95)+(0.15*O95)+(0.15+X95)+(0.15+W95)</f>
        <v>9.0749999999999993</v>
      </c>
      <c r="AH95" s="297">
        <f>(AE95*0.4)+(AF95*0.3)+(AG95*0.3)</f>
        <v>16.985500000000002</v>
      </c>
      <c r="AI95" s="3" t="s">
        <v>345</v>
      </c>
    </row>
    <row r="96" spans="1:35" ht="15" thickBot="1" x14ac:dyDescent="0.35">
      <c r="A96" s="2" t="s">
        <v>34</v>
      </c>
      <c r="B96" s="3" t="s">
        <v>225</v>
      </c>
      <c r="C96" s="3" t="s">
        <v>93</v>
      </c>
      <c r="D96" s="3" t="s">
        <v>75</v>
      </c>
      <c r="E96" s="3">
        <v>22</v>
      </c>
      <c r="F96" s="2">
        <v>72.3</v>
      </c>
      <c r="G96" s="4">
        <v>5.6</v>
      </c>
      <c r="H96" s="17">
        <v>4</v>
      </c>
      <c r="I96" s="5">
        <v>12.7</v>
      </c>
      <c r="J96" s="5">
        <v>10.199999999999999</v>
      </c>
      <c r="K96" s="72">
        <v>2.5</v>
      </c>
      <c r="L96" s="5">
        <v>145.80000000000001</v>
      </c>
      <c r="M96" s="3">
        <f t="shared" si="3"/>
        <v>98.6</v>
      </c>
      <c r="N96" s="168">
        <v>94.4</v>
      </c>
      <c r="O96" s="3">
        <f>100-(_xlfn.PERCENTRANK.INC($N$2:$N$151,N96)*100)</f>
        <v>73.900000000000006</v>
      </c>
      <c r="P96" s="2">
        <v>18.8</v>
      </c>
      <c r="Q96" s="5">
        <v>72.7</v>
      </c>
      <c r="R96" s="5">
        <v>74.599999999999994</v>
      </c>
      <c r="S96" s="186">
        <v>1</v>
      </c>
      <c r="T96" s="2">
        <v>11.7</v>
      </c>
      <c r="U96" s="160">
        <v>5.6</v>
      </c>
      <c r="V96" s="82">
        <v>9.1</v>
      </c>
      <c r="W96" s="2">
        <v>1.2</v>
      </c>
      <c r="X96" s="2">
        <v>1.9</v>
      </c>
      <c r="Y96" s="261">
        <v>21.3</v>
      </c>
      <c r="Z96" s="207">
        <v>2.2000000000000002</v>
      </c>
      <c r="AA96" s="150">
        <v>88.7</v>
      </c>
      <c r="AB96" s="150">
        <v>56.999999999999993</v>
      </c>
      <c r="AC96" s="228">
        <v>14.7</v>
      </c>
      <c r="AD96" s="150">
        <v>54</v>
      </c>
      <c r="AE96" s="150">
        <f>(0.3*P96)+(0.25*R96)+(0.2*G96)+(0.15*U96)+(0.1*Y96)</f>
        <v>28.38</v>
      </c>
      <c r="AF96" s="150">
        <f>((U96+G96)-V96)*_xlfn.PERCENTRANK.INC($V$2:$V$151,V96)</f>
        <v>0.22469999999999996</v>
      </c>
      <c r="AG96" s="150">
        <f>(0.35*I96)+(0.2*K96)+(0.15*O96)+(0.15+X96)+(0.15+W96)</f>
        <v>19.430000000000003</v>
      </c>
      <c r="AH96" s="297">
        <f>(AE96*0.4)+(AF96*0.3)+(AG96*0.3)</f>
        <v>17.24841</v>
      </c>
      <c r="AI96" s="3" t="s">
        <v>345</v>
      </c>
    </row>
    <row r="97" spans="1:35" ht="15" thickBot="1" x14ac:dyDescent="0.35">
      <c r="A97" s="2" t="s">
        <v>52</v>
      </c>
      <c r="B97" s="3" t="s">
        <v>226</v>
      </c>
      <c r="C97" s="3" t="s">
        <v>227</v>
      </c>
      <c r="D97" s="3" t="s">
        <v>228</v>
      </c>
      <c r="E97" s="3">
        <v>21</v>
      </c>
      <c r="F97" s="2">
        <v>97.6</v>
      </c>
      <c r="G97" s="58">
        <v>4.8</v>
      </c>
      <c r="H97" s="174">
        <v>2.9</v>
      </c>
      <c r="I97" s="72">
        <v>3.8</v>
      </c>
      <c r="J97" s="59">
        <v>4.4000000000000004</v>
      </c>
      <c r="K97" s="2">
        <v>-0.6</v>
      </c>
      <c r="L97" s="145">
        <v>116.4</v>
      </c>
      <c r="M97" s="3">
        <f t="shared" si="3"/>
        <v>11.4</v>
      </c>
      <c r="N97" s="262">
        <v>112.5</v>
      </c>
      <c r="O97" s="3">
        <f>100-(_xlfn.PERCENTRANK.INC($N$2:$N$151,N97)*100)</f>
        <v>9.3999999999999915</v>
      </c>
      <c r="P97" s="59">
        <v>27.8</v>
      </c>
      <c r="Q97" s="2">
        <v>52.9</v>
      </c>
      <c r="R97" s="124">
        <v>57.2</v>
      </c>
      <c r="S97" s="183">
        <v>1.5</v>
      </c>
      <c r="T97" s="152">
        <v>8.5</v>
      </c>
      <c r="U97" s="63">
        <v>26.1</v>
      </c>
      <c r="V97" s="251">
        <v>15.9</v>
      </c>
      <c r="W97" s="2">
        <v>1</v>
      </c>
      <c r="X97" s="146">
        <v>1.2</v>
      </c>
      <c r="Y97" s="14">
        <v>30.3</v>
      </c>
      <c r="Z97" s="167">
        <v>2.5</v>
      </c>
      <c r="AA97" s="150">
        <v>82.899999999999991</v>
      </c>
      <c r="AB97" s="150">
        <v>46.1</v>
      </c>
      <c r="AC97" s="256">
        <v>9.4</v>
      </c>
      <c r="AD97" s="150">
        <v>43</v>
      </c>
      <c r="AE97" s="150">
        <f>(0.3*P97)+(0.25*R97)+(0.2*G97)+(0.15*U97)+(0.1*Y97)</f>
        <v>30.545000000000002</v>
      </c>
      <c r="AF97" s="150">
        <f>((U97+G97)-V97)*_xlfn.PERCENTRANK.INC($V$2:$V$151,V97)</f>
        <v>10.770000000000001</v>
      </c>
      <c r="AG97" s="150">
        <f>(0.35*I97)+(0.2*K97)+(0.15*O97)+(0.15+X97)+(0.15+W97)</f>
        <v>5.1199999999999974</v>
      </c>
      <c r="AH97" s="297">
        <f>(AE97*0.4)+(AF97*0.3)+(AG97*0.3)</f>
        <v>16.984999999999999</v>
      </c>
      <c r="AI97" s="3" t="s">
        <v>345</v>
      </c>
    </row>
    <row r="98" spans="1:35" ht="15" thickBot="1" x14ac:dyDescent="0.35">
      <c r="A98" s="2" t="s">
        <v>52</v>
      </c>
      <c r="B98" s="3" t="s">
        <v>229</v>
      </c>
      <c r="C98" s="3" t="s">
        <v>82</v>
      </c>
      <c r="D98" s="3" t="s">
        <v>62</v>
      </c>
      <c r="E98" s="3">
        <v>23</v>
      </c>
      <c r="F98" s="2">
        <v>67.900000000000006</v>
      </c>
      <c r="G98" s="151">
        <v>4.5999999999999996</v>
      </c>
      <c r="H98" s="20">
        <v>3.3</v>
      </c>
      <c r="I98" s="11">
        <v>6.8</v>
      </c>
      <c r="J98" s="17">
        <v>5.4</v>
      </c>
      <c r="K98" s="81">
        <v>1.4</v>
      </c>
      <c r="L98" s="5">
        <v>137</v>
      </c>
      <c r="M98" s="3">
        <f t="shared" si="3"/>
        <v>91.9</v>
      </c>
      <c r="N98" s="148">
        <v>99</v>
      </c>
      <c r="O98" s="3">
        <f>100-(_xlfn.PERCENTRANK.INC($N$2:$N$151,N98)*100)</f>
        <v>57.1</v>
      </c>
      <c r="P98" s="2">
        <v>19.399999999999999</v>
      </c>
      <c r="Q98" s="5">
        <v>68.599999999999994</v>
      </c>
      <c r="R98" s="5">
        <v>69.599999999999994</v>
      </c>
      <c r="S98" s="11">
        <v>12.1</v>
      </c>
      <c r="T98" s="206">
        <v>17.2</v>
      </c>
      <c r="U98" s="194">
        <v>7.2</v>
      </c>
      <c r="V98" s="171">
        <v>10.199999999999999</v>
      </c>
      <c r="W98" s="174">
        <v>3.6</v>
      </c>
      <c r="X98" s="146">
        <v>1.2</v>
      </c>
      <c r="Y98" s="240">
        <v>48.3</v>
      </c>
      <c r="Z98" s="181">
        <v>3.7</v>
      </c>
      <c r="AA98" s="150">
        <v>70.099999999999994</v>
      </c>
      <c r="AB98" s="150">
        <v>70</v>
      </c>
      <c r="AC98" s="263">
        <v>0.9</v>
      </c>
      <c r="AD98" s="150">
        <v>30</v>
      </c>
      <c r="AE98" s="150">
        <f>(0.3*P98)+(0.25*R98)+(0.2*G98)+(0.15*U98)+(0.1*Y98)</f>
        <v>30.049999999999997</v>
      </c>
      <c r="AF98" s="150">
        <f>((U98+G98)-V98)*_xlfn.PERCENTRANK.INC($V$2:$V$151,V98)</f>
        <v>0.33280000000000026</v>
      </c>
      <c r="AG98" s="150">
        <f>(0.35*I98)+(0.2*K98)+(0.15*O98)+(0.15+X98)+(0.15+W98)</f>
        <v>16.324999999999999</v>
      </c>
      <c r="AH98" s="297">
        <f>(AE98*0.4)+(AF98*0.3)+(AG98*0.3)</f>
        <v>17.017340000000001</v>
      </c>
      <c r="AI98" s="3" t="s">
        <v>345</v>
      </c>
    </row>
    <row r="99" spans="1:35" ht="15" thickBot="1" x14ac:dyDescent="0.35">
      <c r="A99" s="2" t="s">
        <v>41</v>
      </c>
      <c r="B99" s="3" t="s">
        <v>230</v>
      </c>
      <c r="C99" s="3" t="s">
        <v>231</v>
      </c>
      <c r="D99" s="3" t="s">
        <v>62</v>
      </c>
      <c r="E99" s="3">
        <v>14</v>
      </c>
      <c r="F99" s="2">
        <v>45.8</v>
      </c>
      <c r="G99" s="257">
        <v>3.7</v>
      </c>
      <c r="H99" s="17">
        <v>3.9</v>
      </c>
      <c r="I99" s="59">
        <v>6</v>
      </c>
      <c r="J99" s="63">
        <v>4</v>
      </c>
      <c r="K99" s="179">
        <v>2</v>
      </c>
      <c r="L99" s="206">
        <v>113</v>
      </c>
      <c r="M99" s="3">
        <f t="shared" si="3"/>
        <v>4</v>
      </c>
      <c r="N99" s="172">
        <v>96.5</v>
      </c>
      <c r="O99" s="3">
        <f>100-(_xlfn.PERCENTRANK.INC($N$2:$N$151,N99)*100)</f>
        <v>66.5</v>
      </c>
      <c r="P99" s="63">
        <v>27.3</v>
      </c>
      <c r="Q99" s="206">
        <v>55.9</v>
      </c>
      <c r="R99" s="7">
        <v>61.4</v>
      </c>
      <c r="S99" s="2">
        <v>3.5</v>
      </c>
      <c r="T99" s="10">
        <v>23.6</v>
      </c>
      <c r="U99" s="184">
        <v>8.9</v>
      </c>
      <c r="V99" s="251">
        <v>15.9</v>
      </c>
      <c r="W99" s="70">
        <v>3.2</v>
      </c>
      <c r="X99" s="2">
        <v>2.2000000000000002</v>
      </c>
      <c r="Y99" s="264">
        <v>53.3</v>
      </c>
      <c r="Z99" s="14">
        <v>3.4</v>
      </c>
      <c r="AA99" s="150">
        <v>78.900000000000006</v>
      </c>
      <c r="AB99" s="150">
        <v>57.999999999999993</v>
      </c>
      <c r="AC99" s="14">
        <v>6.8</v>
      </c>
      <c r="AD99" s="150">
        <v>34</v>
      </c>
      <c r="AE99" s="150">
        <f>(0.3*P99)+(0.25*R99)+(0.2*G99)+(0.15*U99)+(0.1*Y99)</f>
        <v>30.945</v>
      </c>
      <c r="AF99" s="150">
        <f>((U99+G99)-V99)*_xlfn.PERCENTRANK.INC($V$2:$V$151,V99)</f>
        <v>-2.3693999999999993</v>
      </c>
      <c r="AG99" s="150">
        <f>(0.35*I99)+(0.2*K99)+(0.15*O99)+(0.15+X99)+(0.15+W99)</f>
        <v>18.175000000000001</v>
      </c>
      <c r="AH99" s="297">
        <f>(AE99*0.4)+(AF99*0.3)+(AG99*0.3)</f>
        <v>17.119679999999999</v>
      </c>
      <c r="AI99" s="3" t="s">
        <v>345</v>
      </c>
    </row>
    <row r="100" spans="1:35" ht="15" thickBot="1" x14ac:dyDescent="0.35">
      <c r="A100" s="2" t="s">
        <v>34</v>
      </c>
      <c r="B100" s="3" t="s">
        <v>232</v>
      </c>
      <c r="C100" s="3" t="s">
        <v>46</v>
      </c>
      <c r="D100" s="3" t="s">
        <v>47</v>
      </c>
      <c r="E100" s="3">
        <v>21</v>
      </c>
      <c r="F100" s="2">
        <v>80.8</v>
      </c>
      <c r="G100" s="198">
        <v>4.2</v>
      </c>
      <c r="H100" s="2">
        <v>2.1</v>
      </c>
      <c r="I100" s="175">
        <v>3.3</v>
      </c>
      <c r="J100" s="59">
        <v>4.4000000000000004</v>
      </c>
      <c r="K100" s="2">
        <v>-1.2</v>
      </c>
      <c r="L100" s="10">
        <v>126.3</v>
      </c>
      <c r="M100" s="3">
        <f t="shared" si="3"/>
        <v>61.7</v>
      </c>
      <c r="N100" s="235">
        <v>115.8</v>
      </c>
      <c r="O100" s="3">
        <f>100-(_xlfn.PERCENTRANK.INC($N$2:$N$151,N100)*100)</f>
        <v>2.1000000000000085</v>
      </c>
      <c r="P100" s="2">
        <v>22.7</v>
      </c>
      <c r="Q100" s="174">
        <v>54.8</v>
      </c>
      <c r="R100" s="79">
        <v>62.8</v>
      </c>
      <c r="S100" s="165">
        <v>0.8</v>
      </c>
      <c r="T100" s="183">
        <v>7.4</v>
      </c>
      <c r="U100" s="63">
        <v>26.1</v>
      </c>
      <c r="V100" s="155">
        <v>14</v>
      </c>
      <c r="W100" s="152">
        <v>0</v>
      </c>
      <c r="X100" s="2">
        <v>1.8</v>
      </c>
      <c r="Y100" s="265">
        <v>58.9</v>
      </c>
      <c r="Z100" s="173">
        <v>2.2999999999999998</v>
      </c>
      <c r="AA100" s="150">
        <v>86.8</v>
      </c>
      <c r="AB100" s="150">
        <v>49.6</v>
      </c>
      <c r="AC100" s="14">
        <v>7.5</v>
      </c>
      <c r="AD100" s="150">
        <v>41.3</v>
      </c>
      <c r="AE100" s="150">
        <f>(0.3*P100)+(0.25*R100)+(0.2*G100)+(0.15*U100)+(0.1*Y100)</f>
        <v>33.155000000000001</v>
      </c>
      <c r="AF100" s="150">
        <f>((U100+G100)-V100)*_xlfn.PERCENTRANK.INC($V$2:$V$151,V100)</f>
        <v>8.9650000000000016</v>
      </c>
      <c r="AG100" s="150">
        <f>(0.35*I100)+(0.2*K100)+(0.15*O100)+(0.15+X100)+(0.15+W100)</f>
        <v>3.330000000000001</v>
      </c>
      <c r="AH100" s="297">
        <f>(AE100*0.4)+(AF100*0.3)+(AG100*0.3)</f>
        <v>16.950500000000002</v>
      </c>
      <c r="AI100" s="3" t="s">
        <v>345</v>
      </c>
    </row>
    <row r="101" spans="1:35" ht="15" thickBot="1" x14ac:dyDescent="0.35">
      <c r="A101" s="2" t="s">
        <v>41</v>
      </c>
      <c r="B101" s="3" t="s">
        <v>233</v>
      </c>
      <c r="C101" s="3" t="s">
        <v>234</v>
      </c>
      <c r="D101" s="3" t="s">
        <v>62</v>
      </c>
      <c r="E101" s="3">
        <v>22</v>
      </c>
      <c r="F101" s="2">
        <v>81.3</v>
      </c>
      <c r="G101" s="151">
        <v>4.5999999999999996</v>
      </c>
      <c r="H101" s="11">
        <v>3.8</v>
      </c>
      <c r="I101" s="11">
        <v>7</v>
      </c>
      <c r="J101" s="17">
        <v>5.8</v>
      </c>
      <c r="K101" s="2">
        <v>1.1000000000000001</v>
      </c>
      <c r="L101" s="7">
        <v>117.8</v>
      </c>
      <c r="M101" s="3">
        <f t="shared" si="3"/>
        <v>14.7</v>
      </c>
      <c r="N101" s="2">
        <v>100.2</v>
      </c>
      <c r="O101" s="3">
        <f>100-(_xlfn.PERCENTRANK.INC($N$2:$N$151,N101)*100)</f>
        <v>51.7</v>
      </c>
      <c r="P101" s="63">
        <v>27.2</v>
      </c>
      <c r="Q101" s="206">
        <v>55.8</v>
      </c>
      <c r="R101" s="145">
        <v>60.8</v>
      </c>
      <c r="S101" s="2">
        <v>5</v>
      </c>
      <c r="T101" s="206">
        <v>17.2</v>
      </c>
      <c r="U101" s="13">
        <v>9.3000000000000007</v>
      </c>
      <c r="V101" s="233">
        <v>12.6</v>
      </c>
      <c r="W101" s="2">
        <v>1.3</v>
      </c>
      <c r="X101" s="72">
        <v>2.8</v>
      </c>
      <c r="Y101" s="256">
        <v>52.5</v>
      </c>
      <c r="Z101" s="14">
        <v>2.9</v>
      </c>
      <c r="AA101" s="150">
        <v>76.7</v>
      </c>
      <c r="AB101" s="150">
        <v>56.899999999999991</v>
      </c>
      <c r="AC101" s="149">
        <v>12.4</v>
      </c>
      <c r="AD101" s="150">
        <v>36.5</v>
      </c>
      <c r="AE101" s="150">
        <f>(0.3*P101)+(0.25*R101)+(0.2*G101)+(0.15*U101)+(0.1*Y101)</f>
        <v>30.925000000000001</v>
      </c>
      <c r="AF101" s="150">
        <f>((U101+G101)-V101)*_xlfn.PERCENTRANK.INC($V$2:$V$151,V101)</f>
        <v>0.50570000000000026</v>
      </c>
      <c r="AG101" s="150">
        <f>(0.35*I101)+(0.2*K101)+(0.15*O101)+(0.15+X101)+(0.15+W101)</f>
        <v>14.824999999999999</v>
      </c>
      <c r="AH101" s="297">
        <f>(AE101*0.4)+(AF101*0.3)+(AG101*0.3)</f>
        <v>16.96921</v>
      </c>
      <c r="AI101" s="3" t="s">
        <v>345</v>
      </c>
    </row>
    <row r="102" spans="1:35" ht="15" thickBot="1" x14ac:dyDescent="0.35">
      <c r="A102" s="2" t="s">
        <v>48</v>
      </c>
      <c r="B102" s="3" t="s">
        <v>235</v>
      </c>
      <c r="C102" s="3" t="s">
        <v>236</v>
      </c>
      <c r="D102" s="3" t="s">
        <v>62</v>
      </c>
      <c r="E102" s="3">
        <v>22</v>
      </c>
      <c r="F102" s="2">
        <v>67.400000000000006</v>
      </c>
      <c r="G102" s="158">
        <v>3.9</v>
      </c>
      <c r="H102" s="145">
        <v>3.4</v>
      </c>
      <c r="I102" s="79">
        <v>6.8</v>
      </c>
      <c r="J102" s="17">
        <v>5.6</v>
      </c>
      <c r="K102" s="2">
        <v>1.2</v>
      </c>
      <c r="L102" s="79">
        <v>120.6</v>
      </c>
      <c r="M102" s="3">
        <f t="shared" si="3"/>
        <v>30.2</v>
      </c>
      <c r="N102" s="214">
        <v>98</v>
      </c>
      <c r="O102" s="3">
        <f>100-(_xlfn.PERCENTRANK.INC($N$2:$N$151,N102)*100)</f>
        <v>61.1</v>
      </c>
      <c r="P102" s="59">
        <v>27.5</v>
      </c>
      <c r="Q102" s="6">
        <v>58.6</v>
      </c>
      <c r="R102" s="6">
        <v>61.3</v>
      </c>
      <c r="S102" s="7">
        <v>10.8</v>
      </c>
      <c r="T102" s="70">
        <v>15.3</v>
      </c>
      <c r="U102" s="2">
        <v>12.2</v>
      </c>
      <c r="V102" s="251">
        <v>15.8</v>
      </c>
      <c r="W102" s="2">
        <v>1.5</v>
      </c>
      <c r="X102" s="2">
        <v>1.6</v>
      </c>
      <c r="Y102" s="14">
        <v>47.3</v>
      </c>
      <c r="Z102" s="188">
        <v>4.0999999999999996</v>
      </c>
      <c r="AA102" s="150">
        <v>69.8</v>
      </c>
      <c r="AB102" s="150">
        <v>59.9</v>
      </c>
      <c r="AC102" s="14">
        <v>6.2</v>
      </c>
      <c r="AD102" s="150">
        <v>36.5</v>
      </c>
      <c r="AE102" s="150">
        <f>(0.3*P102)+(0.25*R102)+(0.2*G102)+(0.15*U102)+(0.1*Y102)</f>
        <v>30.914999999999999</v>
      </c>
      <c r="AF102" s="150">
        <f>((U102+G102)-V102)*_xlfn.PERCENTRANK.INC($V$2:$V$151,V102)</f>
        <v>0.211199999999998</v>
      </c>
      <c r="AG102" s="150">
        <f>(0.35*I102)+(0.2*K102)+(0.15*O102)+(0.15+X102)+(0.15+W102)</f>
        <v>15.185</v>
      </c>
      <c r="AH102" s="297">
        <f>(AE102*0.4)+(AF102*0.3)+(AG102*0.3)</f>
        <v>16.984859999999998</v>
      </c>
      <c r="AI102" s="3" t="s">
        <v>345</v>
      </c>
    </row>
    <row r="103" spans="1:35" ht="15" thickBot="1" x14ac:dyDescent="0.35">
      <c r="A103" s="2" t="s">
        <v>52</v>
      </c>
      <c r="B103" s="3" t="s">
        <v>237</v>
      </c>
      <c r="C103" s="3" t="s">
        <v>238</v>
      </c>
      <c r="D103" s="3" t="s">
        <v>71</v>
      </c>
      <c r="E103" s="3">
        <v>21</v>
      </c>
      <c r="F103" s="2">
        <v>85.3</v>
      </c>
      <c r="G103" s="69">
        <v>4.2</v>
      </c>
      <c r="H103" s="7">
        <v>3.5</v>
      </c>
      <c r="I103" s="145">
        <v>4.7</v>
      </c>
      <c r="J103" s="63">
        <v>4.0999999999999996</v>
      </c>
      <c r="K103" s="2">
        <v>0.6</v>
      </c>
      <c r="L103" s="175">
        <v>112.2</v>
      </c>
      <c r="M103" s="3">
        <f t="shared" si="3"/>
        <v>2.6</v>
      </c>
      <c r="N103" s="2">
        <v>106.1</v>
      </c>
      <c r="O103" s="3">
        <f>100-(_xlfn.PERCENTRANK.INC($N$2:$N$151,N103)*100)</f>
        <v>26.900000000000006</v>
      </c>
      <c r="P103" s="10">
        <v>30.6</v>
      </c>
      <c r="Q103" s="2">
        <v>47.5</v>
      </c>
      <c r="R103" s="2">
        <v>53.8</v>
      </c>
      <c r="S103" s="66">
        <v>2.6</v>
      </c>
      <c r="T103" s="2">
        <v>9.8000000000000007</v>
      </c>
      <c r="U103" s="206">
        <v>21.5</v>
      </c>
      <c r="V103" s="204">
        <v>14.7</v>
      </c>
      <c r="W103" s="162">
        <v>0.3</v>
      </c>
      <c r="X103" s="2">
        <v>1.7</v>
      </c>
      <c r="Y103" s="14">
        <v>41.3</v>
      </c>
      <c r="Z103" s="207">
        <v>2.2000000000000002</v>
      </c>
      <c r="AA103" s="150">
        <v>81.3</v>
      </c>
      <c r="AB103" s="150">
        <v>49.6</v>
      </c>
      <c r="AC103" s="68">
        <v>8.5</v>
      </c>
      <c r="AD103" s="150">
        <v>28.4</v>
      </c>
      <c r="AE103" s="150">
        <f>(0.3*P103)+(0.25*R103)+(0.2*G103)+(0.15*U103)+(0.1*Y103)</f>
        <v>30.824999999999999</v>
      </c>
      <c r="AF103" s="150">
        <f>((U103+G103)-V103)*_xlfn.PERCENTRANK.INC($V$2:$V$151,V103)</f>
        <v>6.71</v>
      </c>
      <c r="AG103" s="150">
        <f>(0.35*I103)+(0.2*K103)+(0.15*O103)+(0.15+X103)+(0.15+W103)</f>
        <v>8.1</v>
      </c>
      <c r="AH103" s="297">
        <f>(AE103*0.4)+(AF103*0.3)+(AG103*0.3)</f>
        <v>16.773</v>
      </c>
      <c r="AI103" s="3" t="s">
        <v>345</v>
      </c>
    </row>
    <row r="104" spans="1:35" ht="15" thickBot="1" x14ac:dyDescent="0.35">
      <c r="A104" s="2" t="s">
        <v>41</v>
      </c>
      <c r="B104" s="3" t="s">
        <v>239</v>
      </c>
      <c r="C104" s="3" t="s">
        <v>240</v>
      </c>
      <c r="D104" s="3" t="s">
        <v>241</v>
      </c>
      <c r="E104" s="3">
        <v>16</v>
      </c>
      <c r="F104" s="2">
        <v>64.3</v>
      </c>
      <c r="G104" s="212">
        <v>3.8</v>
      </c>
      <c r="H104" s="175">
        <v>3</v>
      </c>
      <c r="I104" s="7">
        <v>5.4</v>
      </c>
      <c r="J104" s="59">
        <v>4.5</v>
      </c>
      <c r="K104" s="2">
        <v>0.9</v>
      </c>
      <c r="L104" s="17">
        <v>123.6</v>
      </c>
      <c r="M104" s="3">
        <f t="shared" si="3"/>
        <v>46.300000000000004</v>
      </c>
      <c r="N104" s="224">
        <v>108.1</v>
      </c>
      <c r="O104" s="3">
        <f>100-(_xlfn.PERCENTRANK.INC($N$2:$N$151,N104)*100)</f>
        <v>20.899999999999991</v>
      </c>
      <c r="P104" s="2">
        <v>22</v>
      </c>
      <c r="Q104" s="17">
        <v>62.2</v>
      </c>
      <c r="R104" s="79">
        <v>63.2</v>
      </c>
      <c r="S104" s="7">
        <v>10.6</v>
      </c>
      <c r="T104" s="2">
        <v>15</v>
      </c>
      <c r="U104" s="2">
        <v>17.3</v>
      </c>
      <c r="V104" s="168">
        <v>13.1</v>
      </c>
      <c r="W104" s="2">
        <v>2.2999999999999998</v>
      </c>
      <c r="X104" s="60">
        <v>2.4</v>
      </c>
      <c r="Y104" s="265">
        <v>58.7</v>
      </c>
      <c r="Z104" s="14">
        <v>3.3</v>
      </c>
      <c r="AA104" s="150">
        <v>63.4</v>
      </c>
      <c r="AB104" s="150">
        <v>63.3</v>
      </c>
      <c r="AC104" s="217">
        <v>0.3</v>
      </c>
      <c r="AD104" s="150">
        <v>0</v>
      </c>
      <c r="AE104" s="150">
        <f>(0.3*P104)+(0.25*R104)+(0.2*G104)+(0.15*U104)+(0.1*Y104)</f>
        <v>31.625</v>
      </c>
      <c r="AF104" s="150">
        <f>((U104+G104)-V104)*_xlfn.PERCENTRANK.INC($V$2:$V$151,V104)</f>
        <v>3.7040000000000011</v>
      </c>
      <c r="AG104" s="150">
        <f>(0.35*I104)+(0.2*K104)+(0.15*O104)+(0.15+X104)+(0.15+W104)</f>
        <v>10.204999999999998</v>
      </c>
      <c r="AH104" s="297">
        <f>(AE104*0.4)+(AF104*0.3)+(AG104*0.3)</f>
        <v>16.822700000000001</v>
      </c>
      <c r="AI104" s="3" t="s">
        <v>345</v>
      </c>
    </row>
    <row r="105" spans="1:35" ht="15" thickBot="1" x14ac:dyDescent="0.35">
      <c r="A105" s="2" t="s">
        <v>34</v>
      </c>
      <c r="B105" s="3" t="s">
        <v>242</v>
      </c>
      <c r="C105" s="3" t="s">
        <v>243</v>
      </c>
      <c r="D105" s="3" t="s">
        <v>51</v>
      </c>
      <c r="E105" s="3">
        <v>22</v>
      </c>
      <c r="F105" s="2">
        <v>80.099999999999994</v>
      </c>
      <c r="G105" s="158">
        <v>3.9</v>
      </c>
      <c r="H105" s="61">
        <v>3.2</v>
      </c>
      <c r="I105" s="7">
        <v>5.5</v>
      </c>
      <c r="J105" s="79">
        <v>4.8</v>
      </c>
      <c r="K105" s="2">
        <v>0.7</v>
      </c>
      <c r="L105" s="124">
        <v>109.7</v>
      </c>
      <c r="M105" s="3">
        <f t="shared" si="3"/>
        <v>2</v>
      </c>
      <c r="N105" s="2">
        <v>105.2</v>
      </c>
      <c r="O105" s="3">
        <f>100-(_xlfn.PERCENTRANK.INC($N$2:$N$151,N105)*100)</f>
        <v>30.900000000000006</v>
      </c>
      <c r="P105" s="10">
        <v>30.6</v>
      </c>
      <c r="Q105" s="2">
        <v>48.1</v>
      </c>
      <c r="R105" s="2">
        <v>53.2</v>
      </c>
      <c r="S105" s="209">
        <v>0.7</v>
      </c>
      <c r="T105" s="186">
        <v>6.7</v>
      </c>
      <c r="U105" s="72">
        <v>22.2</v>
      </c>
      <c r="V105" s="192">
        <v>12.7</v>
      </c>
      <c r="W105" s="162">
        <v>0.3</v>
      </c>
      <c r="X105" s="60">
        <v>2.4</v>
      </c>
      <c r="Y105" s="14">
        <v>36.299999999999997</v>
      </c>
      <c r="Z105" s="15">
        <v>1.5</v>
      </c>
      <c r="AA105" s="150">
        <v>78.900000000000006</v>
      </c>
      <c r="AB105" s="150">
        <v>47.5</v>
      </c>
      <c r="AC105" s="228">
        <v>14.4</v>
      </c>
      <c r="AD105" s="150">
        <v>32.4</v>
      </c>
      <c r="AE105" s="150">
        <f>(0.3*P105)+(0.25*R105)+(0.2*G105)+(0.15*U105)+(0.1*Y105)</f>
        <v>30.22</v>
      </c>
      <c r="AF105" s="150">
        <f>((U105+G105)-V105)*_xlfn.PERCENTRANK.INC($V$2:$V$151,V105)</f>
        <v>5.480599999999999</v>
      </c>
      <c r="AG105" s="150">
        <f>(0.35*I105)+(0.2*K105)+(0.15*O105)+(0.15+X105)+(0.15+W105)</f>
        <v>9.6999999999999993</v>
      </c>
      <c r="AH105" s="297">
        <f>(AE105*0.4)+(AF105*0.3)+(AG105*0.3)</f>
        <v>16.64218</v>
      </c>
      <c r="AI105" s="3" t="s">
        <v>345</v>
      </c>
    </row>
    <row r="106" spans="1:35" ht="15" thickBot="1" x14ac:dyDescent="0.35">
      <c r="A106" s="2" t="s">
        <v>52</v>
      </c>
      <c r="B106" s="3" t="s">
        <v>244</v>
      </c>
      <c r="C106" s="3" t="s">
        <v>245</v>
      </c>
      <c r="D106" s="3" t="s">
        <v>37</v>
      </c>
      <c r="E106" s="3">
        <v>20</v>
      </c>
      <c r="F106" s="2">
        <v>70.3</v>
      </c>
      <c r="G106" s="158">
        <v>3.9</v>
      </c>
      <c r="H106" s="17">
        <v>4</v>
      </c>
      <c r="I106" s="59">
        <v>6</v>
      </c>
      <c r="J106" s="59">
        <v>4.5</v>
      </c>
      <c r="K106" s="124">
        <v>1.6</v>
      </c>
      <c r="L106" s="17">
        <v>123.7</v>
      </c>
      <c r="M106" s="3">
        <f t="shared" si="3"/>
        <v>47.599999999999994</v>
      </c>
      <c r="N106" s="62">
        <v>95.2</v>
      </c>
      <c r="O106" s="3">
        <f>100-(_xlfn.PERCENTRANK.INC($N$2:$N$151,N106)*100)</f>
        <v>70.5</v>
      </c>
      <c r="P106" s="2">
        <v>21.5</v>
      </c>
      <c r="Q106" s="10">
        <v>64.5</v>
      </c>
      <c r="R106" s="17">
        <v>64.3</v>
      </c>
      <c r="S106" s="5">
        <v>17.600000000000001</v>
      </c>
      <c r="T106" s="10">
        <v>24.1</v>
      </c>
      <c r="U106" s="2">
        <v>10.199999999999999</v>
      </c>
      <c r="V106" s="2">
        <v>17.5</v>
      </c>
      <c r="W106" s="2">
        <v>2.1</v>
      </c>
      <c r="X106" s="2">
        <v>1.6</v>
      </c>
      <c r="Y106" s="197">
        <v>69.5</v>
      </c>
      <c r="Z106" s="14">
        <v>3.3</v>
      </c>
      <c r="AA106" s="150">
        <v>60.199999999999996</v>
      </c>
      <c r="AB106" s="150">
        <v>64.5</v>
      </c>
      <c r="AC106" s="199">
        <v>0</v>
      </c>
      <c r="AD106" s="150">
        <v>0</v>
      </c>
      <c r="AE106" s="150">
        <f>(0.3*P106)+(0.25*R106)+(0.2*G106)+(0.15*U106)+(0.1*Y106)</f>
        <v>31.785</v>
      </c>
      <c r="AF106" s="150">
        <f>((U106+G106)-V106)*_xlfn.PERCENTRANK.INC($V$2:$V$151,V106)</f>
        <v>-2.9410000000000003</v>
      </c>
      <c r="AG106" s="150">
        <f>(0.35*I106)+(0.2*K106)+(0.15*O106)+(0.15+X106)+(0.15+W106)</f>
        <v>16.994999999999997</v>
      </c>
      <c r="AH106" s="297">
        <f>(AE106*0.4)+(AF106*0.3)+(AG106*0.3)</f>
        <v>16.930199999999999</v>
      </c>
      <c r="AI106" s="3" t="s">
        <v>345</v>
      </c>
    </row>
    <row r="107" spans="1:35" ht="15" thickBot="1" x14ac:dyDescent="0.35">
      <c r="A107" s="2" t="s">
        <v>41</v>
      </c>
      <c r="B107" s="3" t="s">
        <v>246</v>
      </c>
      <c r="C107" s="3" t="s">
        <v>247</v>
      </c>
      <c r="D107" s="3" t="s">
        <v>109</v>
      </c>
      <c r="E107" s="3">
        <v>20</v>
      </c>
      <c r="F107" s="2">
        <v>80.900000000000006</v>
      </c>
      <c r="G107" s="151">
        <v>4.5</v>
      </c>
      <c r="H107" s="2">
        <v>2.2000000000000002</v>
      </c>
      <c r="I107" s="180">
        <v>4.4000000000000004</v>
      </c>
      <c r="J107" s="17">
        <v>5.4</v>
      </c>
      <c r="K107" s="2">
        <v>-1.1000000000000001</v>
      </c>
      <c r="L107" s="79">
        <v>121.4</v>
      </c>
      <c r="M107" s="3">
        <f t="shared" si="3"/>
        <v>36.9</v>
      </c>
      <c r="N107" s="237">
        <v>115.5</v>
      </c>
      <c r="O107" s="3">
        <f>100-(_xlfn.PERCENTRANK.INC($N$2:$N$151,N107)*100)</f>
        <v>3.4000000000000057</v>
      </c>
      <c r="P107" s="79">
        <v>28.2</v>
      </c>
      <c r="Q107" s="2">
        <v>52.9</v>
      </c>
      <c r="R107" s="180">
        <v>60</v>
      </c>
      <c r="S107" s="64">
        <v>2.5</v>
      </c>
      <c r="T107" s="2">
        <v>13.5</v>
      </c>
      <c r="U107" s="20">
        <v>23.6</v>
      </c>
      <c r="V107" s="144">
        <v>11.6</v>
      </c>
      <c r="W107" s="2">
        <v>1.2</v>
      </c>
      <c r="X107" s="2">
        <v>2.2000000000000002</v>
      </c>
      <c r="Y107" s="153">
        <v>60.7</v>
      </c>
      <c r="Z107" s="14">
        <v>2.8</v>
      </c>
      <c r="AA107" s="150">
        <v>80.5</v>
      </c>
      <c r="AB107" s="150">
        <v>46.6</v>
      </c>
      <c r="AC107" s="265">
        <v>11.1</v>
      </c>
      <c r="AD107" s="150">
        <v>39.5</v>
      </c>
      <c r="AE107" s="150">
        <f>(0.3*P107)+(0.25*R107)+(0.2*G107)+(0.15*U107)+(0.1*Y107)</f>
        <v>33.97</v>
      </c>
      <c r="AF107" s="150">
        <f>((U107+G107)-V107)*_xlfn.PERCENTRANK.INC($V$2:$V$151,V107)</f>
        <v>4.7519999999999998</v>
      </c>
      <c r="AG107" s="150">
        <f>(0.35*I107)+(0.2*K107)+(0.15*O107)+(0.15+X107)+(0.15+W107)</f>
        <v>5.5300000000000011</v>
      </c>
      <c r="AH107" s="297">
        <f>(AE107*0.4)+(AF107*0.3)+(AG107*0.3)</f>
        <v>16.672599999999999</v>
      </c>
      <c r="AI107" s="3" t="s">
        <v>345</v>
      </c>
    </row>
    <row r="108" spans="1:35" ht="15" thickBot="1" x14ac:dyDescent="0.35">
      <c r="A108" s="2" t="s">
        <v>52</v>
      </c>
      <c r="B108" s="3" t="s">
        <v>248</v>
      </c>
      <c r="C108" s="3" t="s">
        <v>132</v>
      </c>
      <c r="D108" s="3" t="s">
        <v>80</v>
      </c>
      <c r="E108" s="3">
        <v>18</v>
      </c>
      <c r="F108" s="2">
        <v>64.900000000000006</v>
      </c>
      <c r="G108" s="58">
        <v>5</v>
      </c>
      <c r="H108" s="79">
        <v>3.7</v>
      </c>
      <c r="I108" s="79">
        <v>6.7</v>
      </c>
      <c r="J108" s="59">
        <v>4.5</v>
      </c>
      <c r="K108" s="206">
        <v>2.2999999999999998</v>
      </c>
      <c r="L108" s="5">
        <v>130.80000000000001</v>
      </c>
      <c r="M108" s="3">
        <f t="shared" si="3"/>
        <v>81.8</v>
      </c>
      <c r="N108" s="2">
        <v>100.4</v>
      </c>
      <c r="O108" s="3">
        <f>100-(_xlfn.PERCENTRANK.INC($N$2:$N$151,N108)*100)</f>
        <v>51.1</v>
      </c>
      <c r="P108" s="2">
        <v>21.1</v>
      </c>
      <c r="Q108" s="124">
        <v>54.2</v>
      </c>
      <c r="R108" s="61">
        <v>59.6</v>
      </c>
      <c r="S108" s="2">
        <v>5.2</v>
      </c>
      <c r="T108" s="162">
        <v>9.1999999999999993</v>
      </c>
      <c r="U108" s="81">
        <v>18.899999999999999</v>
      </c>
      <c r="V108" s="12">
        <v>12</v>
      </c>
      <c r="W108" s="152">
        <v>0</v>
      </c>
      <c r="X108" s="184">
        <v>1.4</v>
      </c>
      <c r="Y108" s="14">
        <v>43</v>
      </c>
      <c r="Z108" s="14">
        <v>2.9</v>
      </c>
      <c r="AA108" s="150">
        <v>81.8</v>
      </c>
      <c r="AB108" s="150">
        <v>60.4</v>
      </c>
      <c r="AC108" s="169">
        <v>8.1999999999999993</v>
      </c>
      <c r="AD108" s="150">
        <v>30.8</v>
      </c>
      <c r="AE108" s="150">
        <f>(0.3*P108)+(0.25*R108)+(0.2*G108)+(0.15*U108)+(0.1*Y108)</f>
        <v>29.365000000000002</v>
      </c>
      <c r="AF108" s="150">
        <f>((U108+G108)-V108)*_xlfn.PERCENTRANK.INC($V$2:$V$151,V108)</f>
        <v>4.0697999999999999</v>
      </c>
      <c r="AG108" s="150">
        <f>(0.35*I108)+(0.2*K108)+(0.15*O108)+(0.15+X108)+(0.15+W108)</f>
        <v>12.17</v>
      </c>
      <c r="AH108" s="297">
        <f>(AE108*0.4)+(AF108*0.3)+(AG108*0.3)</f>
        <v>16.617940000000004</v>
      </c>
      <c r="AI108" s="3" t="s">
        <v>345</v>
      </c>
    </row>
    <row r="109" spans="1:35" ht="15" thickBot="1" x14ac:dyDescent="0.35">
      <c r="A109" s="2" t="s">
        <v>34</v>
      </c>
      <c r="B109" s="3" t="s">
        <v>249</v>
      </c>
      <c r="C109" s="3" t="s">
        <v>99</v>
      </c>
      <c r="D109" s="3" t="s">
        <v>51</v>
      </c>
      <c r="E109" s="3">
        <v>17</v>
      </c>
      <c r="F109" s="2">
        <v>57.2</v>
      </c>
      <c r="G109" s="4">
        <v>5.2</v>
      </c>
      <c r="H109" s="200">
        <v>2.9</v>
      </c>
      <c r="I109" s="17">
        <v>8.3000000000000007</v>
      </c>
      <c r="J109" s="5">
        <v>8</v>
      </c>
      <c r="K109" s="2">
        <v>0.3</v>
      </c>
      <c r="L109" s="5">
        <v>131.80000000000001</v>
      </c>
      <c r="M109" s="3">
        <f t="shared" si="3"/>
        <v>83.8</v>
      </c>
      <c r="N109" s="2">
        <v>104.5</v>
      </c>
      <c r="O109" s="3">
        <f>100-(_xlfn.PERCENTRANK.INC($N$2:$N$151,N109)*100)</f>
        <v>34.299999999999997</v>
      </c>
      <c r="P109" s="2">
        <v>22.6</v>
      </c>
      <c r="Q109" s="11">
        <v>61.4</v>
      </c>
      <c r="R109" s="17">
        <v>64.599999999999994</v>
      </c>
      <c r="S109" s="186">
        <v>1.1000000000000001</v>
      </c>
      <c r="T109" s="165">
        <v>6.5</v>
      </c>
      <c r="U109" s="145">
        <v>24.1</v>
      </c>
      <c r="V109" s="9">
        <v>11.2</v>
      </c>
      <c r="W109" s="152">
        <v>0</v>
      </c>
      <c r="X109" s="147">
        <v>1.1000000000000001</v>
      </c>
      <c r="Y109" s="14">
        <v>29.4</v>
      </c>
      <c r="Z109" s="14">
        <v>3.1</v>
      </c>
      <c r="AA109" s="150">
        <v>82.8</v>
      </c>
      <c r="AB109" s="150">
        <v>52.400000000000006</v>
      </c>
      <c r="AC109" s="259">
        <v>12.7</v>
      </c>
      <c r="AD109" s="150">
        <v>45.2</v>
      </c>
      <c r="AE109" s="150">
        <f>(0.3*P109)+(0.25*R109)+(0.2*G109)+(0.15*U109)+(0.1*Y109)</f>
        <v>30.525000000000002</v>
      </c>
      <c r="AF109" s="150">
        <f>((U109+G109)-V109)*_xlfn.PERCENTRANK.INC($V$2:$V$151,V109)</f>
        <v>4.4888000000000003</v>
      </c>
      <c r="AG109" s="150">
        <f>(0.35*I109)+(0.2*K109)+(0.15*O109)+(0.15+X109)+(0.15+W109)</f>
        <v>9.51</v>
      </c>
      <c r="AH109" s="297">
        <f>(AE109*0.4)+(AF109*0.3)+(AG109*0.3)</f>
        <v>16.409640000000003</v>
      </c>
      <c r="AI109" s="3" t="s">
        <v>345</v>
      </c>
    </row>
    <row r="110" spans="1:35" ht="15" thickBot="1" x14ac:dyDescent="0.35">
      <c r="A110" s="2" t="s">
        <v>52</v>
      </c>
      <c r="B110" s="3" t="s">
        <v>250</v>
      </c>
      <c r="C110" s="3" t="s">
        <v>66</v>
      </c>
      <c r="D110" s="3" t="s">
        <v>80</v>
      </c>
      <c r="E110" s="3">
        <v>21</v>
      </c>
      <c r="F110" s="2">
        <v>69.8</v>
      </c>
      <c r="G110" s="58">
        <v>4.9000000000000004</v>
      </c>
      <c r="H110" s="79">
        <v>3.7</v>
      </c>
      <c r="I110" s="11">
        <v>7.4</v>
      </c>
      <c r="J110" s="10">
        <v>6.3</v>
      </c>
      <c r="K110" s="2">
        <v>1.2</v>
      </c>
      <c r="L110" s="10">
        <v>128.5</v>
      </c>
      <c r="M110" s="3">
        <f t="shared" si="3"/>
        <v>75.8</v>
      </c>
      <c r="N110" s="2">
        <v>99.1</v>
      </c>
      <c r="O110" s="3">
        <f>100-(_xlfn.PERCENTRANK.INC($N$2:$N$151,N110)*100)</f>
        <v>56.4</v>
      </c>
      <c r="P110" s="200">
        <v>23.8</v>
      </c>
      <c r="Q110" s="79">
        <v>60.9</v>
      </c>
      <c r="R110" s="10">
        <v>66.5</v>
      </c>
      <c r="S110" s="2">
        <v>5.4</v>
      </c>
      <c r="T110" s="175">
        <v>17</v>
      </c>
      <c r="U110" s="152">
        <v>7.5</v>
      </c>
      <c r="V110" s="9">
        <v>11.3</v>
      </c>
      <c r="W110" s="2">
        <v>1.8</v>
      </c>
      <c r="X110" s="147">
        <v>1.1000000000000001</v>
      </c>
      <c r="Y110" s="169">
        <v>47.7</v>
      </c>
      <c r="Z110" s="83">
        <v>3.6</v>
      </c>
      <c r="AA110" s="150">
        <v>86.6</v>
      </c>
      <c r="AB110" s="150">
        <v>56.699999999999996</v>
      </c>
      <c r="AC110" s="67">
        <v>8.6999999999999993</v>
      </c>
      <c r="AD110" s="150">
        <v>44.7</v>
      </c>
      <c r="AE110" s="150">
        <f>(0.3*P110)+(0.25*R110)+(0.2*G110)+(0.15*U110)+(0.1*Y110)</f>
        <v>30.64</v>
      </c>
      <c r="AF110" s="150">
        <f>((U110+G110)-V110)*_xlfn.PERCENTRANK.INC($V$2:$V$151,V110)</f>
        <v>0.2947999999999999</v>
      </c>
      <c r="AG110" s="150">
        <f>(0.35*I110)+(0.2*K110)+(0.15*O110)+(0.15+X110)+(0.15+W110)</f>
        <v>14.489999999999998</v>
      </c>
      <c r="AH110" s="297">
        <f>(AE110*0.4)+(AF110*0.3)+(AG110*0.3)</f>
        <v>16.69144</v>
      </c>
      <c r="AI110" s="3" t="s">
        <v>345</v>
      </c>
    </row>
    <row r="111" spans="1:35" ht="15" thickBot="1" x14ac:dyDescent="0.35">
      <c r="A111" s="2" t="s">
        <v>52</v>
      </c>
      <c r="B111" s="3" t="s">
        <v>251</v>
      </c>
      <c r="C111" s="3" t="s">
        <v>91</v>
      </c>
      <c r="D111" s="3" t="s">
        <v>75</v>
      </c>
      <c r="E111" s="3">
        <v>21</v>
      </c>
      <c r="F111" s="2">
        <v>72.5</v>
      </c>
      <c r="G111" s="58">
        <v>4.7</v>
      </c>
      <c r="H111" s="17">
        <v>4</v>
      </c>
      <c r="I111" s="10">
        <v>9.8000000000000007</v>
      </c>
      <c r="J111" s="10">
        <v>6.7</v>
      </c>
      <c r="K111" s="6">
        <v>3.2</v>
      </c>
      <c r="L111" s="10">
        <v>127.3</v>
      </c>
      <c r="M111" s="3">
        <f t="shared" si="3"/>
        <v>67.100000000000009</v>
      </c>
      <c r="N111" s="168">
        <v>94.2</v>
      </c>
      <c r="O111" s="3">
        <f>100-(_xlfn.PERCENTRANK.INC($N$2:$N$151,N111)*100)</f>
        <v>75.2</v>
      </c>
      <c r="P111" s="19">
        <v>24</v>
      </c>
      <c r="Q111" s="60">
        <v>53.3</v>
      </c>
      <c r="R111" s="19">
        <v>58</v>
      </c>
      <c r="S111" s="2">
        <v>3.6</v>
      </c>
      <c r="T111" s="176">
        <v>7.9</v>
      </c>
      <c r="U111" s="2">
        <v>12.1</v>
      </c>
      <c r="V111" s="220">
        <v>7.6</v>
      </c>
      <c r="W111" s="2">
        <v>0.7</v>
      </c>
      <c r="X111" s="124">
        <v>2.5</v>
      </c>
      <c r="Y111" s="14">
        <v>29.8</v>
      </c>
      <c r="Z111" s="181">
        <v>3.7</v>
      </c>
      <c r="AA111" s="150">
        <v>87</v>
      </c>
      <c r="AB111" s="150">
        <v>50.5</v>
      </c>
      <c r="AC111" s="22">
        <v>15</v>
      </c>
      <c r="AD111" s="150">
        <v>36.9</v>
      </c>
      <c r="AE111" s="150">
        <f>(0.3*P111)+(0.25*R111)+(0.2*G111)+(0.15*U111)+(0.1*Y111)</f>
        <v>27.435000000000002</v>
      </c>
      <c r="AF111" s="150">
        <f>((U111+G111)-V111)*_xlfn.PERCENTRANK.INC($V$2:$V$151,V111)</f>
        <v>0.30360000000000004</v>
      </c>
      <c r="AG111" s="150">
        <f>(0.35*I111)+(0.2*K111)+(0.15*O111)+(0.15+X111)+(0.15+W111)</f>
        <v>18.850000000000001</v>
      </c>
      <c r="AH111" s="297">
        <f>(AE111*0.4)+(AF111*0.3)+(AG111*0.3)</f>
        <v>16.720080000000003</v>
      </c>
      <c r="AI111" s="3" t="s">
        <v>345</v>
      </c>
    </row>
    <row r="112" spans="1:35" ht="15" thickBot="1" x14ac:dyDescent="0.35">
      <c r="A112" s="2" t="s">
        <v>48</v>
      </c>
      <c r="B112" s="3" t="s">
        <v>252</v>
      </c>
      <c r="C112" s="3" t="s">
        <v>253</v>
      </c>
      <c r="D112" s="3" t="s">
        <v>75</v>
      </c>
      <c r="E112" s="3">
        <v>22</v>
      </c>
      <c r="F112" s="2">
        <v>70.7</v>
      </c>
      <c r="G112" s="58">
        <v>5.0999999999999996</v>
      </c>
      <c r="H112" s="2">
        <v>2.4</v>
      </c>
      <c r="I112" s="17">
        <v>8.1</v>
      </c>
      <c r="J112" s="5">
        <v>7.7</v>
      </c>
      <c r="K112" s="2">
        <v>0.3</v>
      </c>
      <c r="L112" s="5">
        <v>134.1</v>
      </c>
      <c r="M112" s="3">
        <f t="shared" si="3"/>
        <v>86.5</v>
      </c>
      <c r="N112" s="250">
        <v>109.7</v>
      </c>
      <c r="O112" s="3">
        <f>100-(_xlfn.PERCENTRANK.INC($N$2:$N$151,N112)*100)</f>
        <v>17.5</v>
      </c>
      <c r="P112" s="81">
        <v>23.2</v>
      </c>
      <c r="Q112" s="59">
        <v>60</v>
      </c>
      <c r="R112" s="10">
        <v>66.8</v>
      </c>
      <c r="S112" s="2">
        <v>4.4000000000000004</v>
      </c>
      <c r="T112" s="165">
        <v>6.6</v>
      </c>
      <c r="U112" s="2">
        <v>15.8</v>
      </c>
      <c r="V112" s="82">
        <v>9.5</v>
      </c>
      <c r="W112" s="152">
        <v>0</v>
      </c>
      <c r="X112" s="2">
        <v>2.2000000000000002</v>
      </c>
      <c r="Y112" s="197">
        <v>68</v>
      </c>
      <c r="Z112" s="232">
        <v>2</v>
      </c>
      <c r="AA112" s="150">
        <v>83.6</v>
      </c>
      <c r="AB112" s="150">
        <v>57.099999999999994</v>
      </c>
      <c r="AC112" s="14">
        <v>7.9</v>
      </c>
      <c r="AD112" s="150">
        <v>42.5</v>
      </c>
      <c r="AE112" s="150">
        <f>(0.3*P112)+(0.25*R112)+(0.2*G112)+(0.15*U112)+(0.1*Y112)</f>
        <v>33.85</v>
      </c>
      <c r="AF112" s="150">
        <f>((U112+G112)-V112)*_xlfn.PERCENTRANK.INC($V$2:$V$151,V112)</f>
        <v>1.9835999999999996</v>
      </c>
      <c r="AG112" s="150">
        <f>(0.35*I112)+(0.2*K112)+(0.15*O112)+(0.15+X112)+(0.15+W112)</f>
        <v>8.02</v>
      </c>
      <c r="AH112" s="297">
        <f>(AE112*0.4)+(AF112*0.3)+(AG112*0.3)</f>
        <v>16.541080000000001</v>
      </c>
      <c r="AI112" s="3" t="s">
        <v>345</v>
      </c>
    </row>
    <row r="113" spans="1:35" ht="15" thickBot="1" x14ac:dyDescent="0.35">
      <c r="A113" s="2" t="s">
        <v>52</v>
      </c>
      <c r="B113" s="3" t="s">
        <v>254</v>
      </c>
      <c r="C113" s="3" t="s">
        <v>255</v>
      </c>
      <c r="D113" s="3" t="s">
        <v>80</v>
      </c>
      <c r="E113" s="3">
        <v>23</v>
      </c>
      <c r="F113" s="2">
        <v>81.5</v>
      </c>
      <c r="G113" s="58">
        <v>4.7</v>
      </c>
      <c r="H113" s="17">
        <v>3.9</v>
      </c>
      <c r="I113" s="17">
        <v>7.5</v>
      </c>
      <c r="J113" s="10">
        <v>6</v>
      </c>
      <c r="K113" s="124">
        <v>1.6</v>
      </c>
      <c r="L113" s="59">
        <v>119.4</v>
      </c>
      <c r="M113" s="3">
        <f t="shared" si="3"/>
        <v>24.099999999999998</v>
      </c>
      <c r="N113" s="2">
        <v>99.6</v>
      </c>
      <c r="O113" s="3">
        <f>100-(_xlfn.PERCENTRANK.INC($N$2:$N$151,N113)*100)</f>
        <v>55.1</v>
      </c>
      <c r="P113" s="20">
        <v>26</v>
      </c>
      <c r="Q113" s="61">
        <v>56.7</v>
      </c>
      <c r="R113" s="20">
        <v>60.4</v>
      </c>
      <c r="S113" s="147">
        <v>1.7</v>
      </c>
      <c r="T113" s="2">
        <v>10.9</v>
      </c>
      <c r="U113" s="2">
        <v>16.3</v>
      </c>
      <c r="V113" s="171">
        <v>10.1</v>
      </c>
      <c r="W113" s="2">
        <v>0.6</v>
      </c>
      <c r="X113" s="2">
        <v>2.2000000000000002</v>
      </c>
      <c r="Y113" s="241">
        <v>25.1</v>
      </c>
      <c r="Z113" s="14">
        <v>2.9</v>
      </c>
      <c r="AA113" s="150">
        <v>87.2</v>
      </c>
      <c r="AB113" s="150">
        <v>54.1</v>
      </c>
      <c r="AC113" s="22">
        <v>15.3</v>
      </c>
      <c r="AD113" s="150">
        <v>39.1</v>
      </c>
      <c r="AE113" s="150">
        <f>(0.3*P113)+(0.25*R113)+(0.2*G113)+(0.15*U113)+(0.1*Y113)</f>
        <v>28.795000000000002</v>
      </c>
      <c r="AF113" s="150">
        <f>((U113+G113)-V113)*_xlfn.PERCENTRANK.INC($V$2:$V$151,V113)</f>
        <v>2.1909000000000001</v>
      </c>
      <c r="AG113" s="150">
        <f>(0.35*I113)+(0.2*K113)+(0.15*O113)+(0.15+X113)+(0.15+W113)</f>
        <v>14.31</v>
      </c>
      <c r="AH113" s="297">
        <f>(AE113*0.4)+(AF113*0.3)+(AG113*0.3)</f>
        <v>16.46827</v>
      </c>
      <c r="AI113" s="3" t="s">
        <v>345</v>
      </c>
    </row>
    <row r="114" spans="1:35" ht="15" thickBot="1" x14ac:dyDescent="0.35">
      <c r="A114" s="2" t="s">
        <v>41</v>
      </c>
      <c r="B114" s="3" t="s">
        <v>256</v>
      </c>
      <c r="C114" s="3" t="s">
        <v>182</v>
      </c>
      <c r="D114" s="3" t="s">
        <v>80</v>
      </c>
      <c r="E114" s="3">
        <v>22</v>
      </c>
      <c r="F114" s="2">
        <v>79.400000000000006</v>
      </c>
      <c r="G114" s="58">
        <v>4.7</v>
      </c>
      <c r="H114" s="5">
        <v>4.5999999999999996</v>
      </c>
      <c r="I114" s="5">
        <v>10.3</v>
      </c>
      <c r="J114" s="5">
        <v>7.4</v>
      </c>
      <c r="K114" s="20">
        <v>2.9</v>
      </c>
      <c r="L114" s="10">
        <v>128.1</v>
      </c>
      <c r="M114" s="3">
        <f t="shared" si="3"/>
        <v>71.099999999999994</v>
      </c>
      <c r="N114" s="12">
        <v>92.8</v>
      </c>
      <c r="O114" s="3">
        <f>100-(_xlfn.PERCENTRANK.INC($N$2:$N$151,N114)*100)</f>
        <v>81.3</v>
      </c>
      <c r="P114" s="2">
        <v>21.2</v>
      </c>
      <c r="Q114" s="11">
        <v>61.3</v>
      </c>
      <c r="R114" s="79">
        <v>63.2</v>
      </c>
      <c r="S114" s="227">
        <v>2.7</v>
      </c>
      <c r="T114" s="2">
        <v>13.2</v>
      </c>
      <c r="U114" s="2">
        <v>12.3</v>
      </c>
      <c r="V114" s="5">
        <v>5.2</v>
      </c>
      <c r="W114" s="2">
        <v>1.2</v>
      </c>
      <c r="X114" s="2">
        <v>2</v>
      </c>
      <c r="Y114" s="217">
        <v>16.5</v>
      </c>
      <c r="Z114" s="170">
        <v>2.1</v>
      </c>
      <c r="AA114" s="150">
        <v>82.6</v>
      </c>
      <c r="AB114" s="150">
        <v>61.1</v>
      </c>
      <c r="AC114" s="22">
        <v>15.9</v>
      </c>
      <c r="AD114" s="150">
        <v>41</v>
      </c>
      <c r="AE114" s="150">
        <f>(0.3*P114)+(0.25*R114)+(0.2*G114)+(0.15*U114)+(0.1*Y114)</f>
        <v>26.594999999999999</v>
      </c>
      <c r="AF114" s="150">
        <f>((U114+G114)-V114)*_xlfn.PERCENTRANK.INC($V$2:$V$151,V114)</f>
        <v>0.15340000000000001</v>
      </c>
      <c r="AG114" s="150">
        <f>(0.35*I114)+(0.2*K114)+(0.15*O114)+(0.15+X114)+(0.15+W114)</f>
        <v>19.88</v>
      </c>
      <c r="AH114" s="297">
        <f>(AE114*0.4)+(AF114*0.3)+(AG114*0.3)</f>
        <v>16.648019999999999</v>
      </c>
      <c r="AI114" s="3" t="s">
        <v>345</v>
      </c>
    </row>
    <row r="115" spans="1:35" ht="15" thickBot="1" x14ac:dyDescent="0.35">
      <c r="A115" s="2" t="s">
        <v>52</v>
      </c>
      <c r="B115" s="3" t="s">
        <v>257</v>
      </c>
      <c r="C115" s="3" t="s">
        <v>36</v>
      </c>
      <c r="D115" s="3" t="s">
        <v>37</v>
      </c>
      <c r="E115" s="3">
        <v>23</v>
      </c>
      <c r="F115" s="2">
        <v>83</v>
      </c>
      <c r="G115" s="151">
        <v>4.4000000000000004</v>
      </c>
      <c r="H115" s="5">
        <v>4.8</v>
      </c>
      <c r="I115" s="10">
        <v>8.4</v>
      </c>
      <c r="J115" s="11">
        <v>4.9000000000000004</v>
      </c>
      <c r="K115" s="63">
        <v>3.5</v>
      </c>
      <c r="L115" s="10">
        <v>128.80000000000001</v>
      </c>
      <c r="M115" s="3">
        <f t="shared" si="3"/>
        <v>77.100000000000009</v>
      </c>
      <c r="N115" s="144">
        <v>92.3</v>
      </c>
      <c r="O115" s="3">
        <f>100-(_xlfn.PERCENTRANK.INC($N$2:$N$151,N115)*100)</f>
        <v>83.3</v>
      </c>
      <c r="P115" s="2">
        <v>17.7</v>
      </c>
      <c r="Q115" s="175">
        <v>55.7</v>
      </c>
      <c r="R115" s="206">
        <v>58.8</v>
      </c>
      <c r="S115" s="2">
        <v>7.2</v>
      </c>
      <c r="T115" s="2">
        <v>12.3</v>
      </c>
      <c r="U115" s="2">
        <v>12</v>
      </c>
      <c r="V115" s="18">
        <v>8.3000000000000007</v>
      </c>
      <c r="W115" s="60">
        <v>3.1</v>
      </c>
      <c r="X115" s="2">
        <v>1.6</v>
      </c>
      <c r="Y115" s="191">
        <v>23.4</v>
      </c>
      <c r="Z115" s="185">
        <v>2.6</v>
      </c>
      <c r="AA115" s="150">
        <v>81.8</v>
      </c>
      <c r="AB115" s="150">
        <v>51.5</v>
      </c>
      <c r="AC115" s="14">
        <v>8</v>
      </c>
      <c r="AD115" s="150">
        <v>40.799999999999997</v>
      </c>
      <c r="AE115" s="150">
        <f>(0.3*P115)+(0.25*R115)+(0.2*G115)+(0.15*U115)+(0.1*Y115)</f>
        <v>25.029999999999998</v>
      </c>
      <c r="AF115" s="150">
        <f>((U115+G115)-V115)*_xlfn.PERCENTRANK.INC($V$2:$V$151,V115)</f>
        <v>0.54269999999999985</v>
      </c>
      <c r="AG115" s="150">
        <f>(0.35*I115)+(0.2*K115)+(0.15*O115)+(0.15+X115)+(0.15+W115)</f>
        <v>21.134999999999998</v>
      </c>
      <c r="AH115" s="297">
        <f>(AE115*0.4)+(AF115*0.3)+(AG115*0.3)</f>
        <v>16.515309999999999</v>
      </c>
      <c r="AI115" s="3" t="s">
        <v>345</v>
      </c>
    </row>
    <row r="116" spans="1:35" ht="15" thickBot="1" x14ac:dyDescent="0.35">
      <c r="A116" s="2" t="s">
        <v>52</v>
      </c>
      <c r="B116" s="3" t="s">
        <v>258</v>
      </c>
      <c r="C116" s="3" t="s">
        <v>259</v>
      </c>
      <c r="D116" s="3" t="s">
        <v>80</v>
      </c>
      <c r="E116" s="3">
        <v>21</v>
      </c>
      <c r="F116" s="2">
        <v>82.4</v>
      </c>
      <c r="G116" s="4">
        <v>6.2</v>
      </c>
      <c r="H116" s="63">
        <v>3.6</v>
      </c>
      <c r="I116" s="17">
        <v>8.1</v>
      </c>
      <c r="J116" s="5">
        <v>8.4</v>
      </c>
      <c r="K116" s="2">
        <v>-0.2</v>
      </c>
      <c r="L116" s="17">
        <v>125.3</v>
      </c>
      <c r="M116" s="3">
        <f t="shared" si="3"/>
        <v>57.699999999999996</v>
      </c>
      <c r="N116" s="2">
        <v>104.2</v>
      </c>
      <c r="O116" s="3">
        <f>100-(_xlfn.PERCENTRANK.INC($N$2:$N$151,N116)*100)</f>
        <v>35.599999999999994</v>
      </c>
      <c r="P116" s="11">
        <v>28.6</v>
      </c>
      <c r="Q116" s="63">
        <v>59.2</v>
      </c>
      <c r="R116" s="11">
        <v>63.7</v>
      </c>
      <c r="S116" s="206">
        <v>9</v>
      </c>
      <c r="T116" s="2">
        <v>13.9</v>
      </c>
      <c r="U116" s="2">
        <v>11.3</v>
      </c>
      <c r="V116" s="82">
        <v>9.1999999999999993</v>
      </c>
      <c r="W116" s="2">
        <v>1.2</v>
      </c>
      <c r="X116" s="147">
        <v>1.1000000000000001</v>
      </c>
      <c r="Y116" s="14">
        <v>47.3</v>
      </c>
      <c r="Z116" s="14">
        <v>2.7</v>
      </c>
      <c r="AA116" s="150">
        <v>79.5</v>
      </c>
      <c r="AB116" s="150">
        <v>56.3</v>
      </c>
      <c r="AC116" s="14">
        <v>5.2</v>
      </c>
      <c r="AD116" s="150">
        <v>47.599999999999994</v>
      </c>
      <c r="AE116" s="150">
        <f>(0.3*P116)+(0.25*R116)+(0.2*G116)+(0.15*U116)+(0.1*Y116)</f>
        <v>32.17</v>
      </c>
      <c r="AF116" s="150">
        <f>((U116+G116)-V116)*_xlfn.PERCENTRANK.INC($V$2:$V$151,V116)</f>
        <v>0.94620000000000015</v>
      </c>
      <c r="AG116" s="150">
        <f>(0.35*I116)+(0.2*K116)+(0.15*O116)+(0.15+X116)+(0.15+W116)</f>
        <v>10.734999999999998</v>
      </c>
      <c r="AH116" s="297">
        <f>(AE116*0.4)+(AF116*0.3)+(AG116*0.3)</f>
        <v>16.37236</v>
      </c>
      <c r="AI116" s="3" t="s">
        <v>345</v>
      </c>
    </row>
    <row r="117" spans="1:35" ht="15" thickBot="1" x14ac:dyDescent="0.35">
      <c r="A117" s="2" t="s">
        <v>52</v>
      </c>
      <c r="B117" s="3" t="s">
        <v>260</v>
      </c>
      <c r="C117" s="3" t="s">
        <v>261</v>
      </c>
      <c r="D117" s="3" t="s">
        <v>59</v>
      </c>
      <c r="E117" s="3">
        <v>19</v>
      </c>
      <c r="F117" s="2">
        <v>61.9</v>
      </c>
      <c r="G117" s="58">
        <v>4.7</v>
      </c>
      <c r="H117" s="119">
        <v>3</v>
      </c>
      <c r="I117" s="5">
        <v>10.199999999999999</v>
      </c>
      <c r="J117" s="5">
        <v>8.6999999999999993</v>
      </c>
      <c r="K117" s="163">
        <v>1.5</v>
      </c>
      <c r="L117" s="10">
        <v>125.4</v>
      </c>
      <c r="M117" s="3">
        <f t="shared" si="3"/>
        <v>59</v>
      </c>
      <c r="N117" s="2">
        <v>104.9</v>
      </c>
      <c r="O117" s="3">
        <f>100-(_xlfn.PERCENTRANK.INC($N$2:$N$151,N117)*100)</f>
        <v>32.299999999999997</v>
      </c>
      <c r="P117" s="175">
        <v>24.5</v>
      </c>
      <c r="Q117" s="7">
        <v>58.9</v>
      </c>
      <c r="R117" s="63">
        <v>62.1</v>
      </c>
      <c r="S117" s="2">
        <v>4.4000000000000004</v>
      </c>
      <c r="T117" s="2">
        <v>12.6</v>
      </c>
      <c r="U117" s="2">
        <v>17.2</v>
      </c>
      <c r="V117" s="82">
        <v>9.3000000000000007</v>
      </c>
      <c r="W117" s="2">
        <v>1.3</v>
      </c>
      <c r="X117" s="124">
        <v>2.5</v>
      </c>
      <c r="Y117" s="14">
        <v>33.1</v>
      </c>
      <c r="Z117" s="238">
        <v>1.7</v>
      </c>
      <c r="AA117" s="150">
        <v>78.2</v>
      </c>
      <c r="AB117" s="150">
        <v>52.900000000000006</v>
      </c>
      <c r="AC117" s="211">
        <v>10.199999999999999</v>
      </c>
      <c r="AD117" s="150">
        <v>44.9</v>
      </c>
      <c r="AE117" s="150">
        <f>(0.3*P117)+(0.25*R117)+(0.2*G117)+(0.15*U117)+(0.1*Y117)</f>
        <v>29.704999999999998</v>
      </c>
      <c r="AF117" s="150">
        <f>((U117+G117)-V117)*_xlfn.PERCENTRANK.INC($V$2:$V$151,V117)</f>
        <v>1.6001999999999998</v>
      </c>
      <c r="AG117" s="150">
        <f>(0.35*I117)+(0.2*K117)+(0.15*O117)+(0.15+X117)+(0.15+W117)</f>
        <v>12.815</v>
      </c>
      <c r="AH117" s="297">
        <f>(AE117*0.4)+(AF117*0.3)+(AG117*0.3)</f>
        <v>16.20656</v>
      </c>
      <c r="AI117" s="3" t="s">
        <v>345</v>
      </c>
    </row>
    <row r="118" spans="1:35" ht="15" thickBot="1" x14ac:dyDescent="0.35">
      <c r="A118" s="2" t="s">
        <v>34</v>
      </c>
      <c r="B118" s="3" t="s">
        <v>262</v>
      </c>
      <c r="C118" s="3" t="s">
        <v>263</v>
      </c>
      <c r="D118" s="3" t="s">
        <v>114</v>
      </c>
      <c r="E118" s="3">
        <v>21</v>
      </c>
      <c r="F118" s="2">
        <v>88.1</v>
      </c>
      <c r="G118" s="69">
        <v>4.3</v>
      </c>
      <c r="H118" s="79">
        <v>3.7</v>
      </c>
      <c r="I118" s="59">
        <v>6</v>
      </c>
      <c r="J118" s="59">
        <v>4.3</v>
      </c>
      <c r="K118" s="200">
        <v>1.7</v>
      </c>
      <c r="L118" s="10">
        <v>126.5</v>
      </c>
      <c r="M118" s="3">
        <f t="shared" si="3"/>
        <v>63.7</v>
      </c>
      <c r="N118" s="2">
        <v>103.6</v>
      </c>
      <c r="O118" s="3">
        <f>100-(_xlfn.PERCENTRANK.INC($N$2:$N$151,N118)*100)</f>
        <v>37</v>
      </c>
      <c r="P118" s="2">
        <v>21.3</v>
      </c>
      <c r="Q118" s="6">
        <v>58.3</v>
      </c>
      <c r="R118" s="79">
        <v>63.1</v>
      </c>
      <c r="S118" s="193">
        <v>1.2</v>
      </c>
      <c r="T118" s="2">
        <v>11.2</v>
      </c>
      <c r="U118" s="223">
        <v>19.600000000000001</v>
      </c>
      <c r="V118" s="178">
        <v>12.2</v>
      </c>
      <c r="W118" s="66">
        <v>0.2</v>
      </c>
      <c r="X118" s="2">
        <v>2</v>
      </c>
      <c r="Y118" s="14">
        <v>33.6</v>
      </c>
      <c r="Z118" s="167">
        <v>2.5</v>
      </c>
      <c r="AA118" s="150">
        <v>88.9</v>
      </c>
      <c r="AB118" s="150">
        <v>53.300000000000004</v>
      </c>
      <c r="AC118" s="266">
        <v>9.9</v>
      </c>
      <c r="AD118" s="150">
        <v>42.1</v>
      </c>
      <c r="AE118" s="150">
        <f>(0.3*P118)+(0.25*R118)+(0.2*G118)+(0.15*U118)+(0.1*Y118)</f>
        <v>29.324999999999999</v>
      </c>
      <c r="AF118" s="150">
        <f>((U118+G118)-V118)*_xlfn.PERCENTRANK.INC($V$2:$V$151,V118)</f>
        <v>4.1535000000000011</v>
      </c>
      <c r="AG118" s="150">
        <f>(0.35*I118)+(0.2*K118)+(0.15*O118)+(0.15+X118)+(0.15+W118)</f>
        <v>10.489999999999998</v>
      </c>
      <c r="AH118" s="297">
        <f>(AE118*0.4)+(AF118*0.3)+(AG118*0.3)</f>
        <v>16.123049999999999</v>
      </c>
      <c r="AI118" s="3" t="s">
        <v>345</v>
      </c>
    </row>
    <row r="119" spans="1:35" ht="15" thickBot="1" x14ac:dyDescent="0.35">
      <c r="A119" s="2" t="s">
        <v>34</v>
      </c>
      <c r="B119" s="3" t="s">
        <v>264</v>
      </c>
      <c r="C119" s="3" t="s">
        <v>186</v>
      </c>
      <c r="D119" s="3" t="s">
        <v>80</v>
      </c>
      <c r="E119" s="3">
        <v>21</v>
      </c>
      <c r="F119" s="2">
        <v>77.3</v>
      </c>
      <c r="G119" s="151">
        <v>4.5</v>
      </c>
      <c r="H119" s="79">
        <v>3.7</v>
      </c>
      <c r="I119" s="59">
        <v>6.1</v>
      </c>
      <c r="J119" s="79">
        <v>4.8</v>
      </c>
      <c r="K119" s="60">
        <v>1.3</v>
      </c>
      <c r="L119" s="7">
        <v>118.3</v>
      </c>
      <c r="M119" s="3">
        <f t="shared" si="3"/>
        <v>18.7</v>
      </c>
      <c r="N119" s="2">
        <v>101.1</v>
      </c>
      <c r="O119" s="3">
        <f>100-(_xlfn.PERCENTRANK.INC($N$2:$N$151,N119)*100)</f>
        <v>47.699999999999996</v>
      </c>
      <c r="P119" s="180">
        <v>25.7</v>
      </c>
      <c r="Q119" s="2">
        <v>50.7</v>
      </c>
      <c r="R119" s="19">
        <v>58</v>
      </c>
      <c r="S119" s="2">
        <v>4.4000000000000004</v>
      </c>
      <c r="T119" s="2">
        <v>13.2</v>
      </c>
      <c r="U119" s="2">
        <v>13.4</v>
      </c>
      <c r="V119" s="9">
        <v>11</v>
      </c>
      <c r="W119" s="152">
        <v>0</v>
      </c>
      <c r="X119" s="2">
        <v>2.2000000000000002</v>
      </c>
      <c r="Y119" s="215">
        <v>48.9</v>
      </c>
      <c r="Z119" s="14">
        <v>2.8</v>
      </c>
      <c r="AA119" s="150">
        <v>85</v>
      </c>
      <c r="AB119" s="150">
        <v>44.5</v>
      </c>
      <c r="AC119" s="190">
        <v>12</v>
      </c>
      <c r="AD119" s="150">
        <v>37.5</v>
      </c>
      <c r="AE119" s="150">
        <f>(0.3*P119)+(0.25*R119)+(0.2*G119)+(0.15*U119)+(0.1*Y119)</f>
        <v>30.009999999999998</v>
      </c>
      <c r="AF119" s="150">
        <f>((U119+G119)-V119)*_xlfn.PERCENTRANK.INC($V$2:$V$151,V119)</f>
        <v>1.6628999999999996</v>
      </c>
      <c r="AG119" s="150">
        <f>(0.35*I119)+(0.2*K119)+(0.15*O119)+(0.15+X119)+(0.15+W119)</f>
        <v>12.049999999999999</v>
      </c>
      <c r="AH119" s="297">
        <f>(AE119*0.4)+(AF119*0.3)+(AG119*0.3)</f>
        <v>16.11787</v>
      </c>
      <c r="AI119" s="3" t="s">
        <v>345</v>
      </c>
    </row>
    <row r="120" spans="1:35" ht="15" thickBot="1" x14ac:dyDescent="0.35">
      <c r="A120" s="2" t="s">
        <v>48</v>
      </c>
      <c r="B120" s="3" t="s">
        <v>265</v>
      </c>
      <c r="C120" s="3" t="s">
        <v>132</v>
      </c>
      <c r="D120" s="3" t="s">
        <v>80</v>
      </c>
      <c r="E120" s="3">
        <v>22</v>
      </c>
      <c r="F120" s="2">
        <v>70.8</v>
      </c>
      <c r="G120" s="212">
        <v>3.8</v>
      </c>
      <c r="H120" s="11">
        <v>3.8</v>
      </c>
      <c r="I120" s="11">
        <v>7</v>
      </c>
      <c r="J120" s="11">
        <v>4.8</v>
      </c>
      <c r="K120" s="175">
        <v>2.1</v>
      </c>
      <c r="L120" s="79">
        <v>121</v>
      </c>
      <c r="M120" s="3">
        <f t="shared" si="3"/>
        <v>35.5</v>
      </c>
      <c r="N120" s="62">
        <v>95.1</v>
      </c>
      <c r="O120" s="3">
        <f>100-(_xlfn.PERCENTRANK.INC($N$2:$N$151,N120)*100)</f>
        <v>72.5</v>
      </c>
      <c r="P120" s="60">
        <v>22.8</v>
      </c>
      <c r="Q120" s="200">
        <v>54.5</v>
      </c>
      <c r="R120" s="175">
        <v>58.7</v>
      </c>
      <c r="S120" s="7">
        <v>10.7</v>
      </c>
      <c r="T120" s="79">
        <v>21.1</v>
      </c>
      <c r="U120" s="2">
        <v>15.1</v>
      </c>
      <c r="V120" s="2">
        <v>18.600000000000001</v>
      </c>
      <c r="W120" s="2">
        <v>0.9</v>
      </c>
      <c r="X120" s="193">
        <v>1</v>
      </c>
      <c r="Y120" s="14">
        <v>33.5</v>
      </c>
      <c r="Z120" s="173">
        <v>2.2999999999999998</v>
      </c>
      <c r="AA120" s="150">
        <v>80.600000000000009</v>
      </c>
      <c r="AB120" s="150">
        <v>54.7</v>
      </c>
      <c r="AC120" s="14">
        <v>8</v>
      </c>
      <c r="AD120" s="150">
        <v>36.1</v>
      </c>
      <c r="AE120" s="150">
        <f>(0.3*P120)+(0.25*R120)+(0.2*G120)+(0.15*U120)+(0.1*Y120)</f>
        <v>27.890000000000004</v>
      </c>
      <c r="AF120" s="150">
        <f>((U120+G120)-V120)*_xlfn.PERCENTRANK.INC($V$2:$V$151,V120)</f>
        <v>0.2735999999999974</v>
      </c>
      <c r="AG120" s="150">
        <f>(0.35*I120)+(0.2*K120)+(0.15*O120)+(0.15+X120)+(0.15+W120)</f>
        <v>15.945</v>
      </c>
      <c r="AH120" s="297">
        <f>(AE120*0.4)+(AF120*0.3)+(AG120*0.3)</f>
        <v>16.02158</v>
      </c>
      <c r="AI120" s="3" t="s">
        <v>345</v>
      </c>
    </row>
    <row r="121" spans="1:35" ht="15" thickBot="1" x14ac:dyDescent="0.35">
      <c r="A121" s="2" t="s">
        <v>52</v>
      </c>
      <c r="B121" s="3" t="s">
        <v>266</v>
      </c>
      <c r="C121" s="3" t="s">
        <v>267</v>
      </c>
      <c r="D121" s="3" t="s">
        <v>218</v>
      </c>
      <c r="E121" s="3">
        <v>20</v>
      </c>
      <c r="F121" s="2">
        <v>65.8</v>
      </c>
      <c r="G121" s="198">
        <v>4.0999999999999996</v>
      </c>
      <c r="H121" s="2">
        <v>2.5</v>
      </c>
      <c r="I121" s="11">
        <v>6.9</v>
      </c>
      <c r="J121" s="10">
        <v>6.8</v>
      </c>
      <c r="K121" s="2">
        <v>0.1</v>
      </c>
      <c r="L121" s="10">
        <v>127.9</v>
      </c>
      <c r="M121" s="3">
        <f t="shared" si="3"/>
        <v>69.699999999999989</v>
      </c>
      <c r="N121" s="2">
        <v>107.2</v>
      </c>
      <c r="O121" s="3">
        <f>100-(_xlfn.PERCENTRANK.INC($N$2:$N$151,N121)*100)</f>
        <v>24.900000000000006</v>
      </c>
      <c r="P121" s="80">
        <v>25.5</v>
      </c>
      <c r="Q121" s="17">
        <v>62.6</v>
      </c>
      <c r="R121" s="11">
        <v>63.8</v>
      </c>
      <c r="S121" s="2">
        <v>6.1</v>
      </c>
      <c r="T121" s="124">
        <v>15.8</v>
      </c>
      <c r="U121" s="2">
        <v>12.7</v>
      </c>
      <c r="V121" s="171">
        <v>9.9</v>
      </c>
      <c r="W121" s="2">
        <v>2.8</v>
      </c>
      <c r="X121" s="2">
        <v>1.6</v>
      </c>
      <c r="Y121" s="14">
        <v>42.2</v>
      </c>
      <c r="Z121" s="253">
        <v>3.9</v>
      </c>
      <c r="AA121" s="150">
        <v>66.3</v>
      </c>
      <c r="AB121" s="150">
        <v>61.5</v>
      </c>
      <c r="AC121" s="205">
        <v>10.5</v>
      </c>
      <c r="AD121" s="150">
        <v>42.699999999999996</v>
      </c>
      <c r="AE121" s="150">
        <f>(0.3*P121)+(0.25*R121)+(0.2*G121)+(0.15*U121)+(0.1*Y121)</f>
        <v>30.545000000000002</v>
      </c>
      <c r="AF121" s="150">
        <f>((U121+G121)-V121)*_xlfn.PERCENTRANK.INC($V$2:$V$151,V121)</f>
        <v>1.2488999999999995</v>
      </c>
      <c r="AG121" s="150">
        <f>(0.35*I121)+(0.2*K121)+(0.15*O121)+(0.15+X121)+(0.15+W121)</f>
        <v>10.870000000000001</v>
      </c>
      <c r="AH121" s="297">
        <f>(AE121*0.4)+(AF121*0.3)+(AG121*0.3)</f>
        <v>15.853670000000001</v>
      </c>
      <c r="AI121" s="3" t="s">
        <v>345</v>
      </c>
    </row>
    <row r="122" spans="1:35" ht="15" thickBot="1" x14ac:dyDescent="0.35">
      <c r="A122" s="2" t="s">
        <v>48</v>
      </c>
      <c r="B122" s="3" t="s">
        <v>268</v>
      </c>
      <c r="C122" s="3" t="s">
        <v>269</v>
      </c>
      <c r="D122" s="3" t="s">
        <v>270</v>
      </c>
      <c r="E122" s="3">
        <v>21</v>
      </c>
      <c r="F122" s="2">
        <v>59.4</v>
      </c>
      <c r="G122" s="158">
        <v>4</v>
      </c>
      <c r="H122" s="2">
        <v>2.6</v>
      </c>
      <c r="I122" s="11">
        <v>7</v>
      </c>
      <c r="J122" s="5">
        <v>7.3</v>
      </c>
      <c r="K122" s="2">
        <v>-0.3</v>
      </c>
      <c r="L122" s="17">
        <v>124.1</v>
      </c>
      <c r="M122" s="3">
        <f t="shared" si="3"/>
        <v>51.6</v>
      </c>
      <c r="N122" s="2">
        <v>102.9</v>
      </c>
      <c r="O122" s="3">
        <f>100-(_xlfn.PERCENTRANK.INC($N$2:$N$151,N122)*100)</f>
        <v>41.7</v>
      </c>
      <c r="P122" s="17">
        <v>29.9</v>
      </c>
      <c r="Q122" s="2">
        <v>51.7</v>
      </c>
      <c r="R122" s="174">
        <v>57.8</v>
      </c>
      <c r="S122" s="19">
        <v>8.4</v>
      </c>
      <c r="T122" s="72">
        <v>17.5</v>
      </c>
      <c r="U122" s="2">
        <v>13.2</v>
      </c>
      <c r="V122" s="18">
        <v>8.1</v>
      </c>
      <c r="W122" s="152">
        <v>0</v>
      </c>
      <c r="X122" s="60">
        <v>2.4</v>
      </c>
      <c r="Y122" s="14">
        <v>45.4</v>
      </c>
      <c r="Z122" s="14">
        <v>2.7</v>
      </c>
      <c r="AA122" s="150">
        <v>81.699999999999989</v>
      </c>
      <c r="AB122" s="150">
        <v>55.7</v>
      </c>
      <c r="AC122" s="14">
        <v>6.6</v>
      </c>
      <c r="AD122" s="150">
        <v>25.5</v>
      </c>
      <c r="AE122" s="150">
        <f>(0.3*P122)+(0.25*R122)+(0.2*G122)+(0.15*U122)+(0.1*Y122)</f>
        <v>30.74</v>
      </c>
      <c r="AF122" s="150">
        <f>((U122+G122)-V122)*_xlfn.PERCENTRANK.INC($V$2:$V$151,V122)</f>
        <v>0.48229999999999995</v>
      </c>
      <c r="AG122" s="150">
        <f>(0.35*I122)+(0.2*K122)+(0.15*O122)+(0.15+X122)+(0.15+W122)</f>
        <v>11.345000000000001</v>
      </c>
      <c r="AH122" s="297">
        <f>(AE122*0.4)+(AF122*0.3)+(AG122*0.3)</f>
        <v>15.844190000000001</v>
      </c>
      <c r="AI122" s="3" t="s">
        <v>345</v>
      </c>
    </row>
    <row r="123" spans="1:35" ht="15" thickBot="1" x14ac:dyDescent="0.35">
      <c r="A123" s="2" t="s">
        <v>52</v>
      </c>
      <c r="B123" s="3" t="s">
        <v>271</v>
      </c>
      <c r="C123" s="3" t="s">
        <v>195</v>
      </c>
      <c r="D123" s="3" t="s">
        <v>51</v>
      </c>
      <c r="E123" s="3">
        <v>15</v>
      </c>
      <c r="F123" s="2">
        <v>50.3</v>
      </c>
      <c r="G123" s="58">
        <v>4.7</v>
      </c>
      <c r="H123" s="80">
        <v>3.2</v>
      </c>
      <c r="I123" s="10">
        <v>8.9</v>
      </c>
      <c r="J123" s="10">
        <v>6.7</v>
      </c>
      <c r="K123" s="175">
        <v>2.2000000000000002</v>
      </c>
      <c r="L123" s="5">
        <v>137.80000000000001</v>
      </c>
      <c r="M123" s="3">
        <f t="shared" si="3"/>
        <v>93.899999999999991</v>
      </c>
      <c r="N123" s="2">
        <v>102.5</v>
      </c>
      <c r="O123" s="3">
        <f>100-(_xlfn.PERCENTRANK.INC($N$2:$N$151,N123)*100)</f>
        <v>43.000000000000007</v>
      </c>
      <c r="P123" s="2">
        <v>18.7</v>
      </c>
      <c r="Q123" s="17">
        <v>62.7</v>
      </c>
      <c r="R123" s="17">
        <v>65.3</v>
      </c>
      <c r="S123" s="2">
        <v>3.3</v>
      </c>
      <c r="T123" s="175">
        <v>17</v>
      </c>
      <c r="U123" s="2">
        <v>15</v>
      </c>
      <c r="V123" s="220">
        <v>7.6</v>
      </c>
      <c r="W123" s="2">
        <v>1.1000000000000001</v>
      </c>
      <c r="X123" s="2">
        <v>2</v>
      </c>
      <c r="Y123" s="14">
        <v>38</v>
      </c>
      <c r="Z123" s="210">
        <v>2.4</v>
      </c>
      <c r="AA123" s="150">
        <v>75.900000000000006</v>
      </c>
      <c r="AB123" s="150">
        <v>66.7</v>
      </c>
      <c r="AC123" s="266">
        <v>9.8000000000000007</v>
      </c>
      <c r="AD123" s="150">
        <v>39.5</v>
      </c>
      <c r="AE123" s="150">
        <f>(0.3*P123)+(0.25*R123)+(0.2*G123)+(0.15*U123)+(0.1*Y123)</f>
        <v>28.925000000000001</v>
      </c>
      <c r="AF123" s="150">
        <f>((U123+G123)-V123)*_xlfn.PERCENTRANK.INC($V$2:$V$151,V123)</f>
        <v>0.39929999999999999</v>
      </c>
      <c r="AG123" s="150">
        <f>(0.35*I123)+(0.2*K123)+(0.15*O123)+(0.15+X123)+(0.15+W123)</f>
        <v>13.405000000000001</v>
      </c>
      <c r="AH123" s="297">
        <f>(AE123*0.4)+(AF123*0.3)+(AG123*0.3)</f>
        <v>15.711290000000002</v>
      </c>
      <c r="AI123" s="3" t="s">
        <v>345</v>
      </c>
    </row>
    <row r="124" spans="1:35" ht="15" thickBot="1" x14ac:dyDescent="0.35">
      <c r="A124" s="2" t="s">
        <v>52</v>
      </c>
      <c r="B124" s="3" t="s">
        <v>272</v>
      </c>
      <c r="C124" s="3" t="s">
        <v>273</v>
      </c>
      <c r="D124" s="3" t="s">
        <v>274</v>
      </c>
      <c r="E124" s="3">
        <v>21</v>
      </c>
      <c r="F124" s="2">
        <v>88.9</v>
      </c>
      <c r="G124" s="158">
        <v>3.9</v>
      </c>
      <c r="H124" s="267">
        <v>0.4</v>
      </c>
      <c r="I124" s="2">
        <v>-1.1000000000000001</v>
      </c>
      <c r="J124" s="7">
        <v>3.8</v>
      </c>
      <c r="K124" s="268">
        <v>-4.9000000000000004</v>
      </c>
      <c r="L124" s="61">
        <v>114.1</v>
      </c>
      <c r="M124" s="3">
        <f t="shared" si="3"/>
        <v>6</v>
      </c>
      <c r="N124" s="269">
        <v>130.80000000000001</v>
      </c>
      <c r="O124" s="3">
        <f>100-(_xlfn.PERCENTRANK.INC($N$2:$N$151,N124)*100)</f>
        <v>0</v>
      </c>
      <c r="P124" s="59">
        <v>27.8</v>
      </c>
      <c r="Q124" s="7">
        <v>58.9</v>
      </c>
      <c r="R124" s="79">
        <v>63.1</v>
      </c>
      <c r="S124" s="209">
        <v>0.6</v>
      </c>
      <c r="T124" s="183">
        <v>7.5</v>
      </c>
      <c r="U124" s="79">
        <v>27.1</v>
      </c>
      <c r="V124" s="2">
        <v>19.5</v>
      </c>
      <c r="W124" s="162">
        <v>0.3</v>
      </c>
      <c r="X124" s="146">
        <v>1.2</v>
      </c>
      <c r="Y124" s="182">
        <v>25.9</v>
      </c>
      <c r="Z124" s="14">
        <v>2.8</v>
      </c>
      <c r="AA124" s="150">
        <v>92.7</v>
      </c>
      <c r="AB124" s="150">
        <v>54.2</v>
      </c>
      <c r="AC124" s="153">
        <v>11.8</v>
      </c>
      <c r="AD124" s="150">
        <v>42.199999999999996</v>
      </c>
      <c r="AE124" s="150">
        <f>(0.3*P124)+(0.25*R124)+(0.2*G124)+(0.15*U124)+(0.1*Y124)</f>
        <v>31.550000000000004</v>
      </c>
      <c r="AF124" s="150">
        <f>((U124+G124)-V124)*_xlfn.PERCENTRANK.INC($V$2:$V$151,V124)</f>
        <v>11.028499999999999</v>
      </c>
      <c r="AG124" s="150">
        <f>(0.35*I124)+(0.2*K124)+(0.15*O124)+(0.15+X124)+(0.15+W124)</f>
        <v>0.43499999999999961</v>
      </c>
      <c r="AH124" s="297">
        <f>(AE124*0.4)+(AF124*0.3)+(AG124*0.3)</f>
        <v>16.059050000000003</v>
      </c>
      <c r="AI124" s="3" t="s">
        <v>345</v>
      </c>
    </row>
    <row r="125" spans="1:35" ht="15" thickBot="1" x14ac:dyDescent="0.35">
      <c r="A125" s="2" t="s">
        <v>41</v>
      </c>
      <c r="B125" s="3" t="s">
        <v>275</v>
      </c>
      <c r="C125" s="3" t="s">
        <v>276</v>
      </c>
      <c r="D125" s="3" t="s">
        <v>147</v>
      </c>
      <c r="E125" s="3">
        <v>22</v>
      </c>
      <c r="F125" s="2">
        <v>70.400000000000006</v>
      </c>
      <c r="G125" s="198">
        <v>4.0999999999999996</v>
      </c>
      <c r="H125" s="161">
        <v>3.1</v>
      </c>
      <c r="I125" s="59">
        <v>6.1</v>
      </c>
      <c r="J125" s="11">
        <v>4.9000000000000004</v>
      </c>
      <c r="K125" s="60">
        <v>1.3</v>
      </c>
      <c r="L125" s="17">
        <v>123.2</v>
      </c>
      <c r="M125" s="3">
        <f t="shared" si="3"/>
        <v>44.2</v>
      </c>
      <c r="N125" s="2">
        <v>103.5</v>
      </c>
      <c r="O125" s="3">
        <f>100-(_xlfn.PERCENTRANK.INC($N$2:$N$151,N125)*100)</f>
        <v>37.6</v>
      </c>
      <c r="P125" s="163">
        <v>23.3</v>
      </c>
      <c r="Q125" s="180">
        <v>57.5</v>
      </c>
      <c r="R125" s="6">
        <v>61.2</v>
      </c>
      <c r="S125" s="193">
        <v>1.2</v>
      </c>
      <c r="T125" s="2">
        <v>9.9</v>
      </c>
      <c r="U125" s="2">
        <v>14.9</v>
      </c>
      <c r="V125" s="62">
        <v>13.5</v>
      </c>
      <c r="W125" s="184">
        <v>0.4</v>
      </c>
      <c r="X125" s="2">
        <v>2.2999999999999998</v>
      </c>
      <c r="Y125" s="14">
        <v>31.7</v>
      </c>
      <c r="Z125" s="167">
        <v>2.5</v>
      </c>
      <c r="AA125" s="150">
        <v>81</v>
      </c>
      <c r="AB125" s="150">
        <v>54.800000000000004</v>
      </c>
      <c r="AC125" s="14">
        <v>7.7</v>
      </c>
      <c r="AD125" s="150">
        <v>42</v>
      </c>
      <c r="AE125" s="150">
        <f>(0.3*P125)+(0.25*R125)+(0.2*G125)+(0.15*U125)+(0.1*Y125)</f>
        <v>28.515000000000001</v>
      </c>
      <c r="AF125" s="150">
        <f>((U125+G125)-V125)*_xlfn.PERCENTRANK.INC($V$2:$V$151,V125)</f>
        <v>2.7279999999999998</v>
      </c>
      <c r="AG125" s="150">
        <f>(0.35*I125)+(0.2*K125)+(0.15*O125)+(0.15+X125)+(0.15+W125)</f>
        <v>11.035</v>
      </c>
      <c r="AH125" s="297">
        <f>(AE125*0.4)+(AF125*0.3)+(AG125*0.3)</f>
        <v>15.5349</v>
      </c>
      <c r="AI125" s="3" t="s">
        <v>345</v>
      </c>
    </row>
    <row r="126" spans="1:35" ht="15" thickBot="1" x14ac:dyDescent="0.35">
      <c r="A126" s="2" t="s">
        <v>41</v>
      </c>
      <c r="B126" s="3" t="s">
        <v>277</v>
      </c>
      <c r="C126" s="3" t="s">
        <v>199</v>
      </c>
      <c r="D126" s="3" t="s">
        <v>200</v>
      </c>
      <c r="E126" s="3">
        <v>18</v>
      </c>
      <c r="F126" s="2">
        <v>75.2</v>
      </c>
      <c r="G126" s="198">
        <v>4.0999999999999996</v>
      </c>
      <c r="H126" s="2">
        <v>2.5</v>
      </c>
      <c r="I126" s="61">
        <v>3.8</v>
      </c>
      <c r="J126" s="6">
        <v>3.6</v>
      </c>
      <c r="K126" s="2">
        <v>0.3</v>
      </c>
      <c r="L126" s="5">
        <v>133</v>
      </c>
      <c r="M126" s="3">
        <f t="shared" si="3"/>
        <v>85.2</v>
      </c>
      <c r="N126" s="270">
        <v>110.5</v>
      </c>
      <c r="O126" s="3">
        <f>100-(_xlfn.PERCENTRANK.INC($N$2:$N$151,N126)*100)</f>
        <v>14.099999999999994</v>
      </c>
      <c r="P126" s="2">
        <v>19.3</v>
      </c>
      <c r="Q126" s="80">
        <v>57.1</v>
      </c>
      <c r="R126" s="11">
        <v>64.099999999999994</v>
      </c>
      <c r="S126" s="2">
        <v>6.1</v>
      </c>
      <c r="T126" s="2">
        <v>14.6</v>
      </c>
      <c r="U126" s="124">
        <v>19.3</v>
      </c>
      <c r="V126" s="239">
        <v>13.3</v>
      </c>
      <c r="W126" s="2">
        <v>0.7</v>
      </c>
      <c r="X126" s="147">
        <v>1.1000000000000001</v>
      </c>
      <c r="Y126" s="211">
        <v>54.9</v>
      </c>
      <c r="Z126" s="14">
        <v>3</v>
      </c>
      <c r="AA126" s="150">
        <v>86.3</v>
      </c>
      <c r="AB126" s="150">
        <v>60.4</v>
      </c>
      <c r="AC126" s="243">
        <v>3</v>
      </c>
      <c r="AD126" s="150">
        <v>29.599999999999998</v>
      </c>
      <c r="AE126" s="150">
        <f>(0.3*P126)+(0.25*R126)+(0.2*G126)+(0.15*U126)+(0.1*Y126)</f>
        <v>31.019999999999996</v>
      </c>
      <c r="AF126" s="150">
        <f>((U126+G126)-V126)*_xlfn.PERCENTRANK.INC($V$2:$V$151,V126)</f>
        <v>4.8782999999999985</v>
      </c>
      <c r="AG126" s="150">
        <f>(0.35*I126)+(0.2*K126)+(0.15*O126)+(0.15+X126)+(0.15+W126)</f>
        <v>5.6049999999999986</v>
      </c>
      <c r="AH126" s="297">
        <f>(AE126*0.4)+(AF126*0.3)+(AG126*0.3)</f>
        <v>15.552989999999999</v>
      </c>
      <c r="AI126" s="3" t="s">
        <v>345</v>
      </c>
    </row>
    <row r="127" spans="1:35" ht="15" thickBot="1" x14ac:dyDescent="0.35">
      <c r="A127" s="2" t="s">
        <v>41</v>
      </c>
      <c r="B127" s="3" t="s">
        <v>278</v>
      </c>
      <c r="C127" s="3" t="s">
        <v>125</v>
      </c>
      <c r="D127" s="3" t="s">
        <v>114</v>
      </c>
      <c r="E127" s="3">
        <v>21</v>
      </c>
      <c r="F127" s="2">
        <v>57.8</v>
      </c>
      <c r="G127" s="158">
        <v>3.9</v>
      </c>
      <c r="H127" s="19">
        <v>3</v>
      </c>
      <c r="I127" s="5">
        <v>10.4</v>
      </c>
      <c r="J127" s="5">
        <v>8.3000000000000007</v>
      </c>
      <c r="K127" s="175">
        <v>2.2000000000000002</v>
      </c>
      <c r="L127" s="5">
        <v>142.6</v>
      </c>
      <c r="M127" s="3">
        <f t="shared" si="3"/>
        <v>97.3</v>
      </c>
      <c r="N127" s="148">
        <v>98.8</v>
      </c>
      <c r="O127" s="3">
        <f>100-(_xlfn.PERCENTRANK.INC($N$2:$N$151,N127)*100)</f>
        <v>57.800000000000004</v>
      </c>
      <c r="P127" s="162">
        <v>17.2</v>
      </c>
      <c r="Q127" s="5">
        <v>70.8</v>
      </c>
      <c r="R127" s="5">
        <v>71.5</v>
      </c>
      <c r="S127" s="13">
        <v>3.2</v>
      </c>
      <c r="T127" s="2">
        <v>10.1</v>
      </c>
      <c r="U127" s="2">
        <v>12.3</v>
      </c>
      <c r="V127" s="82">
        <v>9.4</v>
      </c>
      <c r="W127" s="152">
        <v>0</v>
      </c>
      <c r="X127" s="2">
        <v>2</v>
      </c>
      <c r="Y127" s="271">
        <v>11.1</v>
      </c>
      <c r="Z127" s="210">
        <v>2.4</v>
      </c>
      <c r="AA127" s="150">
        <v>80</v>
      </c>
      <c r="AB127" s="150">
        <v>56.8</v>
      </c>
      <c r="AC127" s="22">
        <v>15.4</v>
      </c>
      <c r="AD127" s="150">
        <v>49.7</v>
      </c>
      <c r="AE127" s="150">
        <f>(0.3*P127)+(0.25*R127)+(0.2*G127)+(0.15*U127)+(0.1*Y127)</f>
        <v>26.77</v>
      </c>
      <c r="AF127" s="150">
        <f>((U127+G127)-V127)*_xlfn.PERCENTRANK.INC($V$2:$V$151,V127)</f>
        <v>0.99959999999999982</v>
      </c>
      <c r="AG127" s="150">
        <f>(0.35*I127)+(0.2*K127)+(0.15*O127)+(0.15+X127)+(0.15+W127)</f>
        <v>15.05</v>
      </c>
      <c r="AH127" s="297">
        <f>(AE127*0.4)+(AF127*0.3)+(AG127*0.3)</f>
        <v>15.522880000000001</v>
      </c>
      <c r="AI127" s="3" t="s">
        <v>345</v>
      </c>
    </row>
    <row r="128" spans="1:35" ht="15" thickBot="1" x14ac:dyDescent="0.35">
      <c r="A128" s="2" t="s">
        <v>48</v>
      </c>
      <c r="B128" s="3" t="s">
        <v>279</v>
      </c>
      <c r="C128" s="3" t="s">
        <v>227</v>
      </c>
      <c r="D128" s="3" t="s">
        <v>228</v>
      </c>
      <c r="E128" s="3">
        <v>21</v>
      </c>
      <c r="F128" s="2">
        <v>84.7</v>
      </c>
      <c r="G128" s="257">
        <v>3.7</v>
      </c>
      <c r="H128" s="2">
        <v>2.2999999999999998</v>
      </c>
      <c r="I128" s="81">
        <v>1.9</v>
      </c>
      <c r="J128" s="20">
        <v>3.2</v>
      </c>
      <c r="K128" s="2">
        <v>-1.3</v>
      </c>
      <c r="L128" s="6">
        <v>117.2</v>
      </c>
      <c r="M128" s="3">
        <f t="shared" si="3"/>
        <v>13.4</v>
      </c>
      <c r="N128" s="260">
        <v>114.5</v>
      </c>
      <c r="O128" s="3">
        <f>100-(_xlfn.PERCENTRANK.INC($N$2:$N$151,N128)*100)</f>
        <v>5.4000000000000057</v>
      </c>
      <c r="P128" s="175">
        <v>24.5</v>
      </c>
      <c r="Q128" s="2">
        <v>52.3</v>
      </c>
      <c r="R128" s="179">
        <v>58.2</v>
      </c>
      <c r="S128" s="227">
        <v>2.7</v>
      </c>
      <c r="T128" s="183">
        <v>7.4</v>
      </c>
      <c r="U128" s="145">
        <v>24.3</v>
      </c>
      <c r="V128" s="2">
        <v>18</v>
      </c>
      <c r="W128" s="152">
        <v>0</v>
      </c>
      <c r="X128" s="244">
        <v>0.8</v>
      </c>
      <c r="Y128" s="14">
        <v>44.1</v>
      </c>
      <c r="Z128" s="14">
        <v>3.5</v>
      </c>
      <c r="AA128" s="150">
        <v>81.899999999999991</v>
      </c>
      <c r="AB128" s="150">
        <v>43.8</v>
      </c>
      <c r="AC128" s="259">
        <v>12.6</v>
      </c>
      <c r="AD128" s="150">
        <v>38.299999999999997</v>
      </c>
      <c r="AE128" s="150">
        <f>(0.3*P128)+(0.25*R128)+(0.2*G128)+(0.15*U128)+(0.1*Y128)</f>
        <v>30.694999999999997</v>
      </c>
      <c r="AF128" s="150">
        <f>((U128+G128)-V128)*_xlfn.PERCENTRANK.INC($V$2:$V$151,V128)</f>
        <v>8.92</v>
      </c>
      <c r="AG128" s="150">
        <f>(0.35*I128)+(0.2*K128)+(0.15*O128)+(0.15+X128)+(0.15+W128)</f>
        <v>2.3150000000000008</v>
      </c>
      <c r="AH128" s="297">
        <f>(AE128*0.4)+(AF128*0.3)+(AG128*0.3)</f>
        <v>15.648499999999999</v>
      </c>
      <c r="AI128" s="3" t="s">
        <v>345</v>
      </c>
    </row>
    <row r="129" spans="1:35" ht="15" thickBot="1" x14ac:dyDescent="0.35">
      <c r="A129" s="2" t="s">
        <v>52</v>
      </c>
      <c r="B129" s="3" t="s">
        <v>280</v>
      </c>
      <c r="C129" s="3" t="s">
        <v>281</v>
      </c>
      <c r="D129" s="3" t="s">
        <v>282</v>
      </c>
      <c r="E129" s="3">
        <v>21</v>
      </c>
      <c r="F129" s="2">
        <v>77</v>
      </c>
      <c r="G129" s="212">
        <v>3.8</v>
      </c>
      <c r="H129" s="2">
        <v>2.7</v>
      </c>
      <c r="I129" s="145">
        <v>4.8</v>
      </c>
      <c r="J129" s="63">
        <v>4.0999999999999996</v>
      </c>
      <c r="K129" s="2">
        <v>0.6</v>
      </c>
      <c r="L129" s="10">
        <v>125.7</v>
      </c>
      <c r="M129" s="3">
        <f t="shared" si="3"/>
        <v>60.4</v>
      </c>
      <c r="N129" s="250">
        <v>109.7</v>
      </c>
      <c r="O129" s="3">
        <f>100-(_xlfn.PERCENTRANK.INC($N$2:$N$151,N129)*100)</f>
        <v>17.5</v>
      </c>
      <c r="P129" s="2">
        <v>21.5</v>
      </c>
      <c r="Q129" s="11">
        <v>61.1</v>
      </c>
      <c r="R129" s="17">
        <v>64.599999999999994</v>
      </c>
      <c r="S129" s="2">
        <v>4.9000000000000004</v>
      </c>
      <c r="T129" s="2">
        <v>13.6</v>
      </c>
      <c r="U129" s="2">
        <v>14.3</v>
      </c>
      <c r="V129" s="201">
        <v>14.8</v>
      </c>
      <c r="W129" s="2">
        <v>2.7</v>
      </c>
      <c r="X129" s="2">
        <v>2</v>
      </c>
      <c r="Y129" s="14">
        <v>46.2</v>
      </c>
      <c r="Z129" s="14">
        <v>3.4</v>
      </c>
      <c r="AA129" s="150">
        <v>76.5</v>
      </c>
      <c r="AB129" s="150">
        <v>56.499999999999993</v>
      </c>
      <c r="AC129" s="14">
        <v>7</v>
      </c>
      <c r="AD129" s="150">
        <v>45.800000000000004</v>
      </c>
      <c r="AE129" s="150">
        <f>(0.3*P129)+(0.25*R129)+(0.2*G129)+(0.15*U129)+(0.1*Y129)</f>
        <v>30.125</v>
      </c>
      <c r="AF129" s="150">
        <f>((U129+G129)-V129)*_xlfn.PERCENTRANK.INC($V$2:$V$151,V129)</f>
        <v>2.0790000000000006</v>
      </c>
      <c r="AG129" s="150">
        <f>(0.35*I129)+(0.2*K129)+(0.15*O129)+(0.15+X129)+(0.15+W129)</f>
        <v>9.4249999999999989</v>
      </c>
      <c r="AH129" s="297">
        <f>(AE129*0.4)+(AF129*0.3)+(AG129*0.3)</f>
        <v>15.501200000000001</v>
      </c>
      <c r="AI129" s="3" t="s">
        <v>345</v>
      </c>
    </row>
    <row r="130" spans="1:35" ht="15" thickBot="1" x14ac:dyDescent="0.35">
      <c r="A130" s="2" t="s">
        <v>52</v>
      </c>
      <c r="B130" s="3" t="s">
        <v>283</v>
      </c>
      <c r="C130" s="3" t="s">
        <v>284</v>
      </c>
      <c r="D130" s="3" t="s">
        <v>189</v>
      </c>
      <c r="E130" s="3">
        <v>21</v>
      </c>
      <c r="F130" s="2">
        <v>68.2</v>
      </c>
      <c r="G130" s="212">
        <v>3.7</v>
      </c>
      <c r="H130" s="2">
        <v>2.5</v>
      </c>
      <c r="I130" s="80">
        <v>4</v>
      </c>
      <c r="J130" s="11">
        <v>4.9000000000000004</v>
      </c>
      <c r="K130" s="2">
        <v>-0.9</v>
      </c>
      <c r="L130" s="10">
        <v>128.4</v>
      </c>
      <c r="M130" s="3">
        <f t="shared" si="3"/>
        <v>74.400000000000006</v>
      </c>
      <c r="N130" s="224">
        <v>108.1</v>
      </c>
      <c r="O130" s="3">
        <f>100-(_xlfn.PERCENTRANK.INC($N$2:$N$151,N130)*100)</f>
        <v>20.899999999999991</v>
      </c>
      <c r="P130" s="119">
        <v>24.3</v>
      </c>
      <c r="Q130" s="79">
        <v>60.9</v>
      </c>
      <c r="R130" s="17">
        <v>64.8</v>
      </c>
      <c r="S130" s="145">
        <v>10.3</v>
      </c>
      <c r="T130" s="179">
        <v>16.600000000000001</v>
      </c>
      <c r="U130" s="2">
        <v>9.9</v>
      </c>
      <c r="V130" s="9">
        <v>11.3</v>
      </c>
      <c r="W130" s="2">
        <v>0.6</v>
      </c>
      <c r="X130" s="124">
        <v>2.5</v>
      </c>
      <c r="Y130" s="149">
        <v>63.6</v>
      </c>
      <c r="Z130" s="83">
        <v>3.6</v>
      </c>
      <c r="AA130" s="150">
        <v>73.8</v>
      </c>
      <c r="AB130" s="150">
        <v>63.1</v>
      </c>
      <c r="AC130" s="14">
        <v>3.7</v>
      </c>
      <c r="AD130" s="150">
        <v>34.200000000000003</v>
      </c>
      <c r="AE130" s="150">
        <f>(0.3*P130)+(0.25*R130)+(0.2*G130)+(0.15*U130)+(0.1*Y130)</f>
        <v>32.074999999999996</v>
      </c>
      <c r="AF130" s="150">
        <f>((U130+G130)-V130)*_xlfn.PERCENTRANK.INC($V$2:$V$151,V130)</f>
        <v>0.61640000000000028</v>
      </c>
      <c r="AG130" s="150">
        <f>(0.35*I130)+(0.2*K130)+(0.15*O130)+(0.15+X130)+(0.15+W130)</f>
        <v>7.754999999999999</v>
      </c>
      <c r="AH130" s="297">
        <f>(AE130*0.4)+(AF130*0.3)+(AG130*0.3)</f>
        <v>15.341419999999998</v>
      </c>
      <c r="AI130" s="3" t="s">
        <v>345</v>
      </c>
    </row>
    <row r="131" spans="1:35" ht="15" thickBot="1" x14ac:dyDescent="0.35">
      <c r="A131" s="2" t="s">
        <v>52</v>
      </c>
      <c r="B131" s="3" t="s">
        <v>285</v>
      </c>
      <c r="C131" s="3" t="s">
        <v>286</v>
      </c>
      <c r="D131" s="3" t="s">
        <v>228</v>
      </c>
      <c r="E131" s="3">
        <v>21</v>
      </c>
      <c r="F131" s="2">
        <v>69.8</v>
      </c>
      <c r="G131" s="257">
        <v>3.7</v>
      </c>
      <c r="H131" s="2">
        <v>2</v>
      </c>
      <c r="I131" s="179">
        <v>2.9</v>
      </c>
      <c r="J131" s="79">
        <v>4.5999999999999996</v>
      </c>
      <c r="K131" s="227">
        <v>-1.7</v>
      </c>
      <c r="L131" s="180">
        <v>115.2</v>
      </c>
      <c r="M131" s="3">
        <f t="shared" si="3"/>
        <v>8</v>
      </c>
      <c r="N131" s="272">
        <v>113.2</v>
      </c>
      <c r="O131" s="3">
        <f>100-(_xlfn.PERCENTRANK.INC($N$2:$N$151,N131)*100)</f>
        <v>7.3999999999999915</v>
      </c>
      <c r="P131" s="5">
        <v>33.4</v>
      </c>
      <c r="Q131" s="124">
        <v>54.1</v>
      </c>
      <c r="R131" s="179">
        <v>58.2</v>
      </c>
      <c r="S131" s="200">
        <v>8.1999999999999993</v>
      </c>
      <c r="T131" s="180">
        <v>18.3</v>
      </c>
      <c r="U131" s="2">
        <v>12.8</v>
      </c>
      <c r="V131" s="233">
        <v>12.6</v>
      </c>
      <c r="W131" s="2">
        <v>1.2</v>
      </c>
      <c r="X131" s="2">
        <v>2.2000000000000002</v>
      </c>
      <c r="Y131" s="219">
        <v>58.2</v>
      </c>
      <c r="Z131" s="14">
        <v>3</v>
      </c>
      <c r="AA131" s="150">
        <v>69.399999999999991</v>
      </c>
      <c r="AB131" s="150">
        <v>59</v>
      </c>
      <c r="AC131" s="14">
        <v>7.3</v>
      </c>
      <c r="AD131" s="150">
        <v>26.700000000000003</v>
      </c>
      <c r="AE131" s="150">
        <f>(0.3*P131)+(0.25*R131)+(0.2*G131)+(0.15*U131)+(0.1*Y131)</f>
        <v>33.049999999999997</v>
      </c>
      <c r="AF131" s="150">
        <f>((U131+G131)-V131)*_xlfn.PERCENTRANK.INC($V$2:$V$151,V131)</f>
        <v>1.5171000000000001</v>
      </c>
      <c r="AG131" s="150">
        <f>(0.35*I131)+(0.2*K131)+(0.15*O131)+(0.15+X131)+(0.15+W131)</f>
        <v>5.4849999999999985</v>
      </c>
      <c r="AH131" s="297">
        <f>(AE131*0.4)+(AF131*0.3)+(AG131*0.3)</f>
        <v>15.32063</v>
      </c>
      <c r="AI131" s="3" t="s">
        <v>345</v>
      </c>
    </row>
    <row r="132" spans="1:35" ht="15" thickBot="1" x14ac:dyDescent="0.35">
      <c r="A132" s="2" t="s">
        <v>34</v>
      </c>
      <c r="B132" s="3" t="s">
        <v>287</v>
      </c>
      <c r="C132" s="3" t="s">
        <v>288</v>
      </c>
      <c r="D132" s="3" t="s">
        <v>80</v>
      </c>
      <c r="E132" s="3">
        <v>23</v>
      </c>
      <c r="F132" s="2">
        <v>64.5</v>
      </c>
      <c r="G132" s="198">
        <v>4.0999999999999996</v>
      </c>
      <c r="H132" s="2">
        <v>2.1</v>
      </c>
      <c r="I132" s="79">
        <v>6.8</v>
      </c>
      <c r="J132" s="10">
        <v>6</v>
      </c>
      <c r="K132" s="2">
        <v>0.8</v>
      </c>
      <c r="L132" s="63">
        <v>119.2</v>
      </c>
      <c r="M132" s="3">
        <f t="shared" si="3"/>
        <v>23.400000000000002</v>
      </c>
      <c r="N132" s="129">
        <v>110.7</v>
      </c>
      <c r="O132" s="3">
        <f>100-(_xlfn.PERCENTRANK.INC($N$2:$N$151,N132)*100)</f>
        <v>13.5</v>
      </c>
      <c r="P132" s="11">
        <v>29.1</v>
      </c>
      <c r="Q132" s="2">
        <v>49.6</v>
      </c>
      <c r="R132" s="70">
        <v>56.6</v>
      </c>
      <c r="S132" s="186">
        <v>1.1000000000000001</v>
      </c>
      <c r="T132" s="227">
        <v>9</v>
      </c>
      <c r="U132" s="180">
        <v>23.2</v>
      </c>
      <c r="V132" s="18">
        <v>9</v>
      </c>
      <c r="W132" s="66">
        <v>0.2</v>
      </c>
      <c r="X132" s="2">
        <v>2.2000000000000002</v>
      </c>
      <c r="Y132" s="14">
        <v>39.4</v>
      </c>
      <c r="Z132" s="14">
        <v>3.5</v>
      </c>
      <c r="AA132" s="150">
        <v>89.2</v>
      </c>
      <c r="AB132" s="150">
        <v>49.2</v>
      </c>
      <c r="AC132" s="256">
        <v>9.5</v>
      </c>
      <c r="AD132" s="150">
        <v>33.700000000000003</v>
      </c>
      <c r="AE132" s="150">
        <f>(0.3*P132)+(0.25*R132)+(0.2*G132)+(0.15*U132)+(0.1*Y132)</f>
        <v>31.120000000000005</v>
      </c>
      <c r="AF132" s="150">
        <f>((U132+G132)-V132)*_xlfn.PERCENTRANK.INC($V$2:$V$151,V132)</f>
        <v>1.7018999999999997</v>
      </c>
      <c r="AG132" s="150">
        <f>(0.35*I132)+(0.2*K132)+(0.15*O132)+(0.15+X132)+(0.15+W132)</f>
        <v>7.2649999999999988</v>
      </c>
      <c r="AH132" s="297">
        <f>(AE132*0.4)+(AF132*0.3)+(AG132*0.3)</f>
        <v>15.138070000000001</v>
      </c>
      <c r="AI132" s="3" t="s">
        <v>345</v>
      </c>
    </row>
    <row r="133" spans="1:35" ht="15" thickBot="1" x14ac:dyDescent="0.35">
      <c r="A133" s="2" t="s">
        <v>52</v>
      </c>
      <c r="B133" s="3" t="s">
        <v>289</v>
      </c>
      <c r="C133" s="3" t="s">
        <v>101</v>
      </c>
      <c r="D133" s="3" t="s">
        <v>51</v>
      </c>
      <c r="E133" s="3">
        <v>22</v>
      </c>
      <c r="F133" s="2">
        <v>73.400000000000006</v>
      </c>
      <c r="G133" s="151">
        <v>4.4000000000000004</v>
      </c>
      <c r="H133" s="7">
        <v>3.5</v>
      </c>
      <c r="I133" s="10">
        <v>9.6</v>
      </c>
      <c r="J133" s="5">
        <v>7.6</v>
      </c>
      <c r="K133" s="119">
        <v>2</v>
      </c>
      <c r="L133" s="5">
        <v>138.6</v>
      </c>
      <c r="M133" s="3">
        <f t="shared" si="3"/>
        <v>94.6</v>
      </c>
      <c r="N133" s="2">
        <v>99.6</v>
      </c>
      <c r="O133" s="3">
        <f>100-(_xlfn.PERCENTRANK.INC($N$2:$N$151,N133)*100)</f>
        <v>55.1</v>
      </c>
      <c r="P133" s="146">
        <v>16.2</v>
      </c>
      <c r="Q133" s="5">
        <v>67.3</v>
      </c>
      <c r="R133" s="5">
        <v>68.599999999999994</v>
      </c>
      <c r="S133" s="162">
        <v>2.9</v>
      </c>
      <c r="T133" s="184">
        <v>9.3000000000000007</v>
      </c>
      <c r="U133" s="64">
        <v>7.9</v>
      </c>
      <c r="V133" s="220">
        <v>6.3</v>
      </c>
      <c r="W133" s="2">
        <v>2.6</v>
      </c>
      <c r="X133" s="2">
        <v>1.6</v>
      </c>
      <c r="Y133" s="273">
        <v>14.3</v>
      </c>
      <c r="Z133" s="232">
        <v>2</v>
      </c>
      <c r="AA133" s="150">
        <v>83.899999999999991</v>
      </c>
      <c r="AB133" s="150">
        <v>66.7</v>
      </c>
      <c r="AC133" s="197">
        <v>13.6</v>
      </c>
      <c r="AD133" s="150">
        <v>45</v>
      </c>
      <c r="AE133" s="150">
        <f>(0.3*P133)+(0.25*R133)+(0.2*G133)+(0.15*U133)+(0.1*Y133)</f>
        <v>25.504999999999995</v>
      </c>
      <c r="AF133" s="150">
        <f>((U133+G133)-V133)*_xlfn.PERCENTRANK.INC($V$2:$V$151,V133)</f>
        <v>0.12000000000000002</v>
      </c>
      <c r="AG133" s="150">
        <f>(0.35*I133)+(0.2*K133)+(0.15*O133)+(0.15+X133)+(0.15+W133)</f>
        <v>16.524999999999999</v>
      </c>
      <c r="AH133" s="297">
        <f>(AE133*0.4)+(AF133*0.3)+(AG133*0.3)</f>
        <v>15.195499999999997</v>
      </c>
      <c r="AI133" s="3" t="s">
        <v>345</v>
      </c>
    </row>
    <row r="134" spans="1:35" ht="15" thickBot="1" x14ac:dyDescent="0.35">
      <c r="A134" s="2" t="s">
        <v>34</v>
      </c>
      <c r="B134" s="3" t="s">
        <v>290</v>
      </c>
      <c r="C134" s="3" t="s">
        <v>253</v>
      </c>
      <c r="D134" s="3" t="s">
        <v>75</v>
      </c>
      <c r="E134" s="3">
        <v>22</v>
      </c>
      <c r="F134" s="2">
        <v>77.5</v>
      </c>
      <c r="G134" s="69">
        <v>4.3</v>
      </c>
      <c r="H134" s="2">
        <v>2.5</v>
      </c>
      <c r="I134" s="61">
        <v>4</v>
      </c>
      <c r="J134" s="59">
        <v>4.2</v>
      </c>
      <c r="K134" s="2">
        <v>-0.2</v>
      </c>
      <c r="L134" s="10">
        <v>128.4</v>
      </c>
      <c r="M134" s="3">
        <f t="shared" si="3"/>
        <v>74.400000000000006</v>
      </c>
      <c r="N134" s="274">
        <v>111</v>
      </c>
      <c r="O134" s="3">
        <f>100-(_xlfn.PERCENTRANK.INC($N$2:$N$151,N134)*100)</f>
        <v>12.099999999999994</v>
      </c>
      <c r="P134" s="2">
        <v>19.600000000000001</v>
      </c>
      <c r="Q134" s="11">
        <v>61.1</v>
      </c>
      <c r="R134" s="79">
        <v>63.1</v>
      </c>
      <c r="S134" s="193">
        <v>1.2</v>
      </c>
      <c r="T134" s="275">
        <v>5.5</v>
      </c>
      <c r="U134" s="59">
        <v>26.4</v>
      </c>
      <c r="V134" s="12">
        <v>11.9</v>
      </c>
      <c r="W134" s="66">
        <v>0.2</v>
      </c>
      <c r="X134" s="2">
        <v>1.7</v>
      </c>
      <c r="Y134" s="191">
        <v>23</v>
      </c>
      <c r="Z134" s="14">
        <v>3</v>
      </c>
      <c r="AA134" s="150">
        <v>78</v>
      </c>
      <c r="AB134" s="150">
        <v>54.2</v>
      </c>
      <c r="AC134" s="14">
        <v>5.3</v>
      </c>
      <c r="AD134" s="150">
        <v>51.6</v>
      </c>
      <c r="AE134" s="150">
        <f>(0.3*P134)+(0.25*R134)+(0.2*G134)+(0.15*U134)+(0.1*Y134)</f>
        <v>28.775000000000002</v>
      </c>
      <c r="AF134" s="150">
        <f>((U134+G134)-V134)*_xlfn.PERCENTRANK.INC($V$2:$V$151,V134)</f>
        <v>6.2979999999999992</v>
      </c>
      <c r="AG134" s="150">
        <f>(0.35*I134)+(0.2*K134)+(0.15*O134)+(0.15+X134)+(0.15+W134)</f>
        <v>5.3749999999999982</v>
      </c>
      <c r="AH134" s="297">
        <f>(AE134*0.4)+(AF134*0.3)+(AG134*0.3)</f>
        <v>15.011900000000001</v>
      </c>
      <c r="AI134" s="3" t="s">
        <v>345</v>
      </c>
    </row>
    <row r="135" spans="1:35" ht="15" thickBot="1" x14ac:dyDescent="0.35">
      <c r="A135" s="2" t="s">
        <v>34</v>
      </c>
      <c r="B135" s="3" t="s">
        <v>291</v>
      </c>
      <c r="C135" s="3" t="s">
        <v>292</v>
      </c>
      <c r="D135" s="3" t="s">
        <v>51</v>
      </c>
      <c r="E135" s="3">
        <v>22</v>
      </c>
      <c r="F135" s="2">
        <v>80</v>
      </c>
      <c r="G135" s="212">
        <v>3.8</v>
      </c>
      <c r="H135" s="200">
        <v>2.9</v>
      </c>
      <c r="I135" s="61">
        <v>3.9</v>
      </c>
      <c r="J135" s="145">
        <v>3.4</v>
      </c>
      <c r="K135" s="2">
        <v>0.5</v>
      </c>
      <c r="L135" s="59">
        <v>119.4</v>
      </c>
      <c r="M135" s="3">
        <f t="shared" si="3"/>
        <v>24.099999999999998</v>
      </c>
      <c r="N135" s="224">
        <v>108</v>
      </c>
      <c r="O135" s="3">
        <f>100-(_xlfn.PERCENTRANK.INC($N$2:$N$151,N135)*100)</f>
        <v>21.5</v>
      </c>
      <c r="P135" s="70">
        <v>23</v>
      </c>
      <c r="Q135" s="70">
        <v>53.6</v>
      </c>
      <c r="R135" s="206">
        <v>58.8</v>
      </c>
      <c r="S135" s="21">
        <v>1.9</v>
      </c>
      <c r="T135" s="162">
        <v>9.1999999999999993</v>
      </c>
      <c r="U135" s="60">
        <v>18.3</v>
      </c>
      <c r="V135" s="172">
        <v>14.4</v>
      </c>
      <c r="W135" s="2">
        <v>0.8</v>
      </c>
      <c r="X135" s="2">
        <v>2.2000000000000002</v>
      </c>
      <c r="Y135" s="14">
        <v>29.7</v>
      </c>
      <c r="Z135" s="210">
        <v>2.4</v>
      </c>
      <c r="AA135" s="150">
        <v>91.100000000000009</v>
      </c>
      <c r="AB135" s="150">
        <v>56.100000000000009</v>
      </c>
      <c r="AC135" s="16">
        <v>9</v>
      </c>
      <c r="AD135" s="150">
        <v>33.300000000000004</v>
      </c>
      <c r="AE135" s="150">
        <f>(0.3*P135)+(0.25*R135)+(0.2*G135)+(0.15*U135)+(0.1*Y135)</f>
        <v>28.074999999999999</v>
      </c>
      <c r="AF135" s="150">
        <f>((U135+G135)-V135)*_xlfn.PERCENTRANK.INC($V$2:$V$151,V135)</f>
        <v>4.5969000000000007</v>
      </c>
      <c r="AG135" s="150">
        <f>(0.35*I135)+(0.2*K135)+(0.15*O135)+(0.15+X135)+(0.15+W135)</f>
        <v>7.9900000000000011</v>
      </c>
      <c r="AH135" s="297">
        <f>(AE135*0.4)+(AF135*0.3)+(AG135*0.3)</f>
        <v>15.006070000000001</v>
      </c>
      <c r="AI135" s="3" t="s">
        <v>345</v>
      </c>
    </row>
    <row r="136" spans="1:35" ht="15" thickBot="1" x14ac:dyDescent="0.35">
      <c r="A136" s="2" t="s">
        <v>41</v>
      </c>
      <c r="B136" s="3" t="s">
        <v>293</v>
      </c>
      <c r="C136" s="3" t="s">
        <v>205</v>
      </c>
      <c r="D136" s="3" t="s">
        <v>80</v>
      </c>
      <c r="E136" s="3">
        <v>21</v>
      </c>
      <c r="F136" s="2">
        <v>75.599999999999994</v>
      </c>
      <c r="G136" s="198">
        <v>4.0999999999999996</v>
      </c>
      <c r="H136" s="119">
        <v>3</v>
      </c>
      <c r="I136" s="63">
        <v>5.6</v>
      </c>
      <c r="J136" s="17">
        <v>5.5</v>
      </c>
      <c r="K136" s="2">
        <v>0.1</v>
      </c>
      <c r="L136" s="11">
        <v>122</v>
      </c>
      <c r="M136" s="3">
        <f t="shared" si="3"/>
        <v>40.200000000000003</v>
      </c>
      <c r="N136" s="2">
        <v>105.4</v>
      </c>
      <c r="O136" s="3">
        <f>100-(_xlfn.PERCENTRANK.INC($N$2:$N$151,N136)*100)</f>
        <v>28.900000000000006</v>
      </c>
      <c r="P136" s="70">
        <v>23</v>
      </c>
      <c r="Q136" s="61">
        <v>56.7</v>
      </c>
      <c r="R136" s="145">
        <v>60.9</v>
      </c>
      <c r="S136" s="176">
        <v>2</v>
      </c>
      <c r="T136" s="160">
        <v>7.2</v>
      </c>
      <c r="U136" s="2">
        <v>16.3</v>
      </c>
      <c r="V136" s="196">
        <v>13.9</v>
      </c>
      <c r="W136" s="66">
        <v>0.2</v>
      </c>
      <c r="X136" s="2">
        <v>1.6</v>
      </c>
      <c r="Y136" s="14">
        <v>28.9</v>
      </c>
      <c r="Z136" s="210">
        <v>2.4</v>
      </c>
      <c r="AA136" s="150">
        <v>87</v>
      </c>
      <c r="AB136" s="150">
        <v>49.4</v>
      </c>
      <c r="AC136" s="228">
        <v>14.3</v>
      </c>
      <c r="AD136" s="150">
        <v>40.400000000000006</v>
      </c>
      <c r="AE136" s="150">
        <f>(0.3*P136)+(0.25*R136)+(0.2*G136)+(0.15*U136)+(0.1*Y136)</f>
        <v>28.28</v>
      </c>
      <c r="AF136" s="150">
        <f>((U136+G136)-V136)*_xlfn.PERCENTRANK.INC($V$2:$V$151,V136)</f>
        <v>3.4839999999999991</v>
      </c>
      <c r="AG136" s="150">
        <f>(0.35*I136)+(0.2*K136)+(0.15*O136)+(0.15+X136)+(0.15+W136)</f>
        <v>8.4150000000000009</v>
      </c>
      <c r="AH136" s="297">
        <f>(AE136*0.4)+(AF136*0.3)+(AG136*0.3)</f>
        <v>14.8817</v>
      </c>
      <c r="AI136" s="3" t="s">
        <v>345</v>
      </c>
    </row>
    <row r="137" spans="1:35" ht="15" thickBot="1" x14ac:dyDescent="0.35">
      <c r="A137" s="2" t="s">
        <v>52</v>
      </c>
      <c r="B137" s="3" t="s">
        <v>294</v>
      </c>
      <c r="C137" s="3" t="s">
        <v>295</v>
      </c>
      <c r="D137" s="3" t="s">
        <v>147</v>
      </c>
      <c r="E137" s="3">
        <v>22</v>
      </c>
      <c r="F137" s="2">
        <v>86.5</v>
      </c>
      <c r="G137" s="212">
        <v>3.8</v>
      </c>
      <c r="H137" s="63">
        <v>3.6</v>
      </c>
      <c r="I137" s="20">
        <v>4.5999999999999996</v>
      </c>
      <c r="J137" s="145">
        <v>3.5</v>
      </c>
      <c r="K137" s="2">
        <v>1.2</v>
      </c>
      <c r="L137" s="63">
        <v>118.5</v>
      </c>
      <c r="M137" s="3">
        <f t="shared" si="3"/>
        <v>20.100000000000001</v>
      </c>
      <c r="N137" s="2">
        <v>104.4</v>
      </c>
      <c r="O137" s="3">
        <f>100-(_xlfn.PERCENTRANK.INC($N$2:$N$151,N137)*100)</f>
        <v>34.899999999999991</v>
      </c>
      <c r="P137" s="2">
        <v>22.7</v>
      </c>
      <c r="Q137" s="2">
        <v>53</v>
      </c>
      <c r="R137" s="161">
        <v>59</v>
      </c>
      <c r="S137" s="2">
        <v>6.2</v>
      </c>
      <c r="T137" s="81">
        <v>15.5</v>
      </c>
      <c r="U137" s="2">
        <v>11.5</v>
      </c>
      <c r="V137" s="71">
        <v>15</v>
      </c>
      <c r="W137" s="200">
        <v>3.5</v>
      </c>
      <c r="X137" s="2">
        <v>1.7</v>
      </c>
      <c r="Y137" s="14">
        <v>36.700000000000003</v>
      </c>
      <c r="Z137" s="14">
        <v>2.7</v>
      </c>
      <c r="AA137" s="150">
        <v>88.7</v>
      </c>
      <c r="AB137" s="150">
        <v>50.6</v>
      </c>
      <c r="AC137" s="14">
        <v>6.9</v>
      </c>
      <c r="AD137" s="150">
        <v>38.6</v>
      </c>
      <c r="AE137" s="150">
        <f>(0.3*P137)+(0.25*R137)+(0.2*G137)+(0.15*U137)+(0.1*Y137)</f>
        <v>27.715000000000003</v>
      </c>
      <c r="AF137" s="150">
        <f>((U137+G137)-V137)*_xlfn.PERCENTRANK.INC($V$2:$V$151,V137)</f>
        <v>0.19530000000000047</v>
      </c>
      <c r="AG137" s="150">
        <f>(0.35*I137)+(0.2*K137)+(0.15*O137)+(0.15+X137)+(0.15+W137)</f>
        <v>12.584999999999999</v>
      </c>
      <c r="AH137" s="297">
        <f>(AE137*0.4)+(AF137*0.3)+(AG137*0.3)</f>
        <v>14.920090000000002</v>
      </c>
      <c r="AI137" s="3" t="s">
        <v>345</v>
      </c>
    </row>
    <row r="138" spans="1:35" ht="15" thickBot="1" x14ac:dyDescent="0.35">
      <c r="A138" s="2" t="s">
        <v>52</v>
      </c>
      <c r="B138" s="3" t="s">
        <v>296</v>
      </c>
      <c r="C138" s="3" t="s">
        <v>292</v>
      </c>
      <c r="D138" s="3" t="s">
        <v>51</v>
      </c>
      <c r="E138" s="3">
        <v>22</v>
      </c>
      <c r="F138" s="2">
        <v>74.2</v>
      </c>
      <c r="G138" s="212">
        <v>3.8</v>
      </c>
      <c r="H138" s="2">
        <v>2.5</v>
      </c>
      <c r="I138" s="63">
        <v>5.6</v>
      </c>
      <c r="J138" s="17">
        <v>5.9</v>
      </c>
      <c r="K138" s="2">
        <v>-0.3</v>
      </c>
      <c r="L138" s="79">
        <v>120.9</v>
      </c>
      <c r="M138" s="3">
        <f t="shared" si="3"/>
        <v>34.200000000000003</v>
      </c>
      <c r="N138" s="229">
        <v>109.4</v>
      </c>
      <c r="O138" s="3">
        <f>100-(_xlfn.PERCENTRANK.INC($N$2:$N$151,N138)*100)</f>
        <v>18.799999999999997</v>
      </c>
      <c r="P138" s="200">
        <v>23.8</v>
      </c>
      <c r="Q138" s="6">
        <v>58.5</v>
      </c>
      <c r="R138" s="180">
        <v>60.1</v>
      </c>
      <c r="S138" s="194">
        <v>2.2000000000000002</v>
      </c>
      <c r="T138" s="2">
        <v>10.1</v>
      </c>
      <c r="U138" s="19">
        <v>20.3</v>
      </c>
      <c r="V138" s="204">
        <v>14.7</v>
      </c>
      <c r="W138" s="2">
        <v>1.1000000000000001</v>
      </c>
      <c r="X138" s="146">
        <v>1.2</v>
      </c>
      <c r="Y138" s="271">
        <v>11</v>
      </c>
      <c r="Z138" s="14">
        <v>3</v>
      </c>
      <c r="AA138" s="150">
        <v>87.1</v>
      </c>
      <c r="AB138" s="150">
        <v>50.4</v>
      </c>
      <c r="AC138" s="228">
        <v>14.5</v>
      </c>
      <c r="AD138" s="150">
        <v>42.8</v>
      </c>
      <c r="AE138" s="150">
        <f>(0.3*P138)+(0.25*R138)+(0.2*G138)+(0.15*U138)+(0.1*Y138)</f>
        <v>27.07</v>
      </c>
      <c r="AF138" s="150">
        <f>((U138+G138)-V138)*_xlfn.PERCENTRANK.INC($V$2:$V$151,V138)</f>
        <v>5.7340000000000009</v>
      </c>
      <c r="AG138" s="150">
        <f>(0.35*I138)+(0.2*K138)+(0.15*O138)+(0.15+X138)+(0.15+W138)</f>
        <v>7.3199999999999985</v>
      </c>
      <c r="AH138" s="297">
        <f>(AE138*0.4)+(AF138*0.3)+(AG138*0.3)</f>
        <v>14.744200000000001</v>
      </c>
      <c r="AI138" s="3" t="s">
        <v>345</v>
      </c>
    </row>
    <row r="139" spans="1:35" ht="15" thickBot="1" x14ac:dyDescent="0.35">
      <c r="A139" s="2" t="s">
        <v>52</v>
      </c>
      <c r="B139" s="3" t="s">
        <v>297</v>
      </c>
      <c r="C139" s="3" t="s">
        <v>298</v>
      </c>
      <c r="D139" s="3" t="s">
        <v>37</v>
      </c>
      <c r="E139" s="3">
        <v>16</v>
      </c>
      <c r="F139" s="2">
        <v>48.7</v>
      </c>
      <c r="G139" s="257">
        <v>3.7</v>
      </c>
      <c r="H139" s="2">
        <v>2</v>
      </c>
      <c r="I139" s="20">
        <v>4.5</v>
      </c>
      <c r="J139" s="11">
        <v>5.2</v>
      </c>
      <c r="K139" s="2">
        <v>-0.7</v>
      </c>
      <c r="L139" s="6">
        <v>116.9</v>
      </c>
      <c r="M139" s="3">
        <f t="shared" si="3"/>
        <v>12.7</v>
      </c>
      <c r="N139" s="272">
        <v>112.9</v>
      </c>
      <c r="O139" s="3">
        <f>100-(_xlfn.PERCENTRANK.INC($N$2:$N$151,N139)*100)</f>
        <v>8.7999999999999972</v>
      </c>
      <c r="P139" s="59">
        <v>27.6</v>
      </c>
      <c r="Q139" s="2">
        <v>51.4</v>
      </c>
      <c r="R139" s="2">
        <v>56</v>
      </c>
      <c r="S139" s="165">
        <v>0.8</v>
      </c>
      <c r="T139" s="2">
        <v>10.199999999999999</v>
      </c>
      <c r="U139" s="61">
        <v>22.5</v>
      </c>
      <c r="V139" s="189">
        <v>10.8</v>
      </c>
      <c r="W139" s="66">
        <v>0.2</v>
      </c>
      <c r="X139" s="2">
        <v>2.1</v>
      </c>
      <c r="Y139" s="14">
        <v>35.700000000000003</v>
      </c>
      <c r="Z139" s="167">
        <v>2.5</v>
      </c>
      <c r="AA139" s="150">
        <v>78.7</v>
      </c>
      <c r="AB139" s="150">
        <v>49.5</v>
      </c>
      <c r="AC139" s="259">
        <v>12.5</v>
      </c>
      <c r="AD139" s="150">
        <v>35.6</v>
      </c>
      <c r="AE139" s="150">
        <f>(0.3*P139)+(0.25*R139)+(0.2*G139)+(0.15*U139)+(0.1*Y139)</f>
        <v>29.965</v>
      </c>
      <c r="AF139" s="150">
        <f>((U139+G139)-V139)*_xlfn.PERCENTRANK.INC($V$2:$V$151,V139)</f>
        <v>3.6035999999999997</v>
      </c>
      <c r="AG139" s="150">
        <f>(0.35*I139)+(0.2*K139)+(0.15*O139)+(0.15+X139)+(0.15+W139)</f>
        <v>5.3549999999999995</v>
      </c>
      <c r="AH139" s="297">
        <f>(AE139*0.4)+(AF139*0.3)+(AG139*0.3)</f>
        <v>14.673580000000001</v>
      </c>
      <c r="AI139" s="3" t="s">
        <v>345</v>
      </c>
    </row>
    <row r="140" spans="1:35" ht="15" thickBot="1" x14ac:dyDescent="0.35">
      <c r="A140" s="2" t="s">
        <v>48</v>
      </c>
      <c r="B140" s="3" t="s">
        <v>299</v>
      </c>
      <c r="C140" s="3" t="s">
        <v>151</v>
      </c>
      <c r="D140" s="3" t="s">
        <v>51</v>
      </c>
      <c r="E140" s="3">
        <v>22</v>
      </c>
      <c r="F140" s="2">
        <v>67.900000000000006</v>
      </c>
      <c r="G140" s="257">
        <v>3.7</v>
      </c>
      <c r="H140" s="175">
        <v>3.1</v>
      </c>
      <c r="I140" s="59">
        <v>6.3</v>
      </c>
      <c r="J140" s="11">
        <v>4.9000000000000004</v>
      </c>
      <c r="K140" s="81">
        <v>1.4</v>
      </c>
      <c r="L140" s="79">
        <v>120.4</v>
      </c>
      <c r="M140" s="3">
        <f t="shared" si="3"/>
        <v>28.799999999999997</v>
      </c>
      <c r="N140" s="2">
        <v>101.7</v>
      </c>
      <c r="O140" s="3">
        <f>100-(_xlfn.PERCENTRANK.INC($N$2:$N$151,N140)*100)</f>
        <v>44.999999999999993</v>
      </c>
      <c r="P140" s="19">
        <v>24</v>
      </c>
      <c r="Q140" s="2">
        <v>51.7</v>
      </c>
      <c r="R140" s="2">
        <v>55</v>
      </c>
      <c r="S140" s="2">
        <v>4</v>
      </c>
      <c r="T140" s="2">
        <v>10.1</v>
      </c>
      <c r="U140" s="2">
        <v>17</v>
      </c>
      <c r="V140" s="18">
        <v>8.1</v>
      </c>
      <c r="W140" s="184">
        <v>0.4</v>
      </c>
      <c r="X140" s="80">
        <v>2.9</v>
      </c>
      <c r="Y140" s="261">
        <v>21</v>
      </c>
      <c r="Z140" s="14">
        <v>2.9</v>
      </c>
      <c r="AA140" s="150">
        <v>84.2</v>
      </c>
      <c r="AB140" s="150">
        <v>45.1</v>
      </c>
      <c r="AC140" s="190">
        <v>12</v>
      </c>
      <c r="AD140" s="150">
        <v>39.200000000000003</v>
      </c>
      <c r="AE140" s="150">
        <f>(0.3*P140)+(0.25*R140)+(0.2*G140)+(0.15*U140)+(0.1*Y140)</f>
        <v>26.34</v>
      </c>
      <c r="AF140" s="150">
        <f>((U140+G140)-V140)*_xlfn.PERCENTRANK.INC($V$2:$V$151,V140)</f>
        <v>0.66779999999999995</v>
      </c>
      <c r="AG140" s="150">
        <f>(0.35*I140)+(0.2*K140)+(0.15*O140)+(0.15+X140)+(0.15+W140)</f>
        <v>12.835000000000001</v>
      </c>
      <c r="AH140" s="297">
        <f>(AE140*0.4)+(AF140*0.3)+(AG140*0.3)</f>
        <v>14.586840000000002</v>
      </c>
      <c r="AI140" s="3" t="s">
        <v>345</v>
      </c>
    </row>
    <row r="141" spans="1:35" ht="15" thickBot="1" x14ac:dyDescent="0.35">
      <c r="A141" s="2" t="s">
        <v>52</v>
      </c>
      <c r="B141" s="3" t="s">
        <v>300</v>
      </c>
      <c r="C141" s="3" t="s">
        <v>169</v>
      </c>
      <c r="D141" s="3" t="s">
        <v>59</v>
      </c>
      <c r="E141" s="3">
        <v>20</v>
      </c>
      <c r="F141" s="2">
        <v>76.5</v>
      </c>
      <c r="G141" s="58">
        <v>4.7</v>
      </c>
      <c r="H141" s="61">
        <v>3.2</v>
      </c>
      <c r="I141" s="79">
        <v>6.7</v>
      </c>
      <c r="J141" s="10">
        <v>6.4</v>
      </c>
      <c r="K141" s="2">
        <v>0.3</v>
      </c>
      <c r="L141" s="5">
        <v>130.5</v>
      </c>
      <c r="M141" s="3">
        <f t="shared" si="3"/>
        <v>80.5</v>
      </c>
      <c r="N141" s="2">
        <v>104</v>
      </c>
      <c r="O141" s="3">
        <f>100-(_xlfn.PERCENTRANK.INC($N$2:$N$151,N141)*100)</f>
        <v>36.299999999999997</v>
      </c>
      <c r="P141" s="2">
        <v>22.4</v>
      </c>
      <c r="Q141" s="59">
        <v>59.7</v>
      </c>
      <c r="R141" s="11">
        <v>63.8</v>
      </c>
      <c r="S141" s="176">
        <v>2</v>
      </c>
      <c r="T141" s="193">
        <v>7</v>
      </c>
      <c r="U141" s="2">
        <v>9.6999999999999993</v>
      </c>
      <c r="V141" s="18">
        <v>8.9</v>
      </c>
      <c r="W141" s="184">
        <v>0.4</v>
      </c>
      <c r="X141" s="2">
        <v>1.6</v>
      </c>
      <c r="Y141" s="14">
        <v>35.200000000000003</v>
      </c>
      <c r="Z141" s="177">
        <v>1.9</v>
      </c>
      <c r="AA141" s="150">
        <v>83.899999999999991</v>
      </c>
      <c r="AB141" s="150">
        <v>61.7</v>
      </c>
      <c r="AC141" s="190">
        <v>12.1</v>
      </c>
      <c r="AD141" s="150">
        <v>38.6</v>
      </c>
      <c r="AE141" s="150">
        <f>(0.3*P141)+(0.25*R141)+(0.2*G141)+(0.15*U141)+(0.1*Y141)</f>
        <v>28.584999999999997</v>
      </c>
      <c r="AF141" s="150">
        <f>((U141+G141)-V141)*_xlfn.PERCENTRANK.INC($V$2:$V$151,V141)</f>
        <v>0.47849999999999981</v>
      </c>
      <c r="AG141" s="150">
        <f>(0.35*I141)+(0.2*K141)+(0.15*O141)+(0.15+X141)+(0.15+W141)</f>
        <v>10.15</v>
      </c>
      <c r="AH141" s="297">
        <f>(AE141*0.4)+(AF141*0.3)+(AG141*0.3)</f>
        <v>14.622549999999999</v>
      </c>
      <c r="AI141" s="3" t="s">
        <v>345</v>
      </c>
    </row>
    <row r="142" spans="1:35" ht="15" thickBot="1" x14ac:dyDescent="0.35">
      <c r="A142" s="2" t="s">
        <v>41</v>
      </c>
      <c r="B142" s="3" t="s">
        <v>301</v>
      </c>
      <c r="C142" s="3" t="s">
        <v>302</v>
      </c>
      <c r="D142" s="3" t="s">
        <v>303</v>
      </c>
      <c r="E142" s="3">
        <v>20</v>
      </c>
      <c r="F142" s="2">
        <v>74.099999999999994</v>
      </c>
      <c r="G142" s="212">
        <v>3.8</v>
      </c>
      <c r="H142" s="2">
        <v>2.2000000000000002</v>
      </c>
      <c r="I142" s="180">
        <v>4.2</v>
      </c>
      <c r="J142" s="11">
        <v>5.2</v>
      </c>
      <c r="K142" s="2">
        <v>-1</v>
      </c>
      <c r="L142" s="145">
        <v>116.2</v>
      </c>
      <c r="M142" s="3">
        <f t="shared" si="3"/>
        <v>9.3000000000000007</v>
      </c>
      <c r="N142" s="272">
        <v>113.3</v>
      </c>
      <c r="O142" s="3">
        <f>100-(_xlfn.PERCENTRANK.INC($N$2:$N$151,N142)*100)</f>
        <v>6.7999999999999972</v>
      </c>
      <c r="P142" s="59">
        <v>27.6</v>
      </c>
      <c r="Q142" s="60">
        <v>53.3</v>
      </c>
      <c r="R142" s="145">
        <v>60.7</v>
      </c>
      <c r="S142" s="2">
        <v>4.2</v>
      </c>
      <c r="T142" s="179">
        <v>16.600000000000001</v>
      </c>
      <c r="U142" s="2">
        <v>15</v>
      </c>
      <c r="V142" s="218">
        <v>16.100000000000001</v>
      </c>
      <c r="W142" s="2">
        <v>0.7</v>
      </c>
      <c r="X142" s="2">
        <v>1.8</v>
      </c>
      <c r="Y142" s="276">
        <v>51.3</v>
      </c>
      <c r="Z142" s="14">
        <v>2.8</v>
      </c>
      <c r="AA142" s="150">
        <v>86.4</v>
      </c>
      <c r="AB142" s="150">
        <v>52.400000000000006</v>
      </c>
      <c r="AC142" s="149">
        <v>12.3</v>
      </c>
      <c r="AD142" s="150">
        <v>36.1</v>
      </c>
      <c r="AE142" s="150">
        <f>(0.3*P142)+(0.25*R142)+(0.2*G142)+(0.15*U142)+(0.1*Y142)</f>
        <v>31.594999999999999</v>
      </c>
      <c r="AF142" s="150">
        <f>((U142+G142)-V142)*_xlfn.PERCENTRANK.INC($V$2:$V$151,V142)</f>
        <v>1.9736999999999993</v>
      </c>
      <c r="AG142" s="150">
        <f>(0.35*I142)+(0.2*K142)+(0.15*O142)+(0.15+X142)+(0.15+W142)</f>
        <v>5.089999999999999</v>
      </c>
      <c r="AH142" s="297">
        <f>(AE142*0.4)+(AF142*0.3)+(AG142*0.3)</f>
        <v>14.757109999999999</v>
      </c>
      <c r="AI142" s="3" t="s">
        <v>345</v>
      </c>
    </row>
    <row r="143" spans="1:35" ht="15" thickBot="1" x14ac:dyDescent="0.35">
      <c r="A143" s="2" t="s">
        <v>52</v>
      </c>
      <c r="B143" s="3" t="s">
        <v>304</v>
      </c>
      <c r="C143" s="3" t="s">
        <v>305</v>
      </c>
      <c r="D143" s="3" t="s">
        <v>47</v>
      </c>
      <c r="E143" s="3">
        <v>20</v>
      </c>
      <c r="F143" s="2">
        <v>87.9</v>
      </c>
      <c r="G143" s="151">
        <v>4.5999999999999996</v>
      </c>
      <c r="H143" s="180">
        <v>3.3</v>
      </c>
      <c r="I143" s="79">
        <v>6.6</v>
      </c>
      <c r="J143" s="11">
        <v>5</v>
      </c>
      <c r="K143" s="124">
        <v>1.5</v>
      </c>
      <c r="L143" s="5">
        <v>134.4</v>
      </c>
      <c r="M143" s="3">
        <f t="shared" si="3"/>
        <v>87.2</v>
      </c>
      <c r="N143" s="2">
        <v>107.2</v>
      </c>
      <c r="O143" s="3">
        <f>100-(_xlfn.PERCENTRANK.INC($N$2:$N$151,N143)*100)</f>
        <v>24.900000000000006</v>
      </c>
      <c r="P143" s="2">
        <v>18.7</v>
      </c>
      <c r="Q143" s="11">
        <v>61.1</v>
      </c>
      <c r="R143" s="17">
        <v>64.599999999999994</v>
      </c>
      <c r="S143" s="2">
        <v>6.3</v>
      </c>
      <c r="T143" s="2">
        <v>12.8</v>
      </c>
      <c r="U143" s="2">
        <v>13.6</v>
      </c>
      <c r="V143" s="189">
        <v>10.4</v>
      </c>
      <c r="W143" s="162">
        <v>0.3</v>
      </c>
      <c r="X143" s="80">
        <v>2.9</v>
      </c>
      <c r="Y143" s="234">
        <v>28.2</v>
      </c>
      <c r="Z143" s="14">
        <v>2.7</v>
      </c>
      <c r="AA143" s="150">
        <v>86</v>
      </c>
      <c r="AB143" s="150">
        <v>60.3</v>
      </c>
      <c r="AC143" s="153">
        <v>11.7</v>
      </c>
      <c r="AD143" s="150">
        <v>41</v>
      </c>
      <c r="AE143" s="150">
        <f>(0.3*P143)+(0.25*R143)+(0.2*G143)+(0.15*U143)+(0.1*Y143)</f>
        <v>27.54</v>
      </c>
      <c r="AF143" s="150">
        <f>((U143+G143)-V143)*_xlfn.PERCENTRANK.INC($V$2:$V$151,V143)</f>
        <v>1.6691999999999998</v>
      </c>
      <c r="AG143" s="150">
        <f>(0.35*I143)+(0.2*K143)+(0.15*O143)+(0.15+X143)+(0.15+W143)</f>
        <v>9.8449999999999989</v>
      </c>
      <c r="AH143" s="297">
        <f>(AE143*0.4)+(AF143*0.3)+(AG143*0.3)</f>
        <v>14.47026</v>
      </c>
      <c r="AI143" s="3" t="s">
        <v>345</v>
      </c>
    </row>
    <row r="144" spans="1:35" ht="15" thickBot="1" x14ac:dyDescent="0.35">
      <c r="A144" s="2" t="s">
        <v>41</v>
      </c>
      <c r="B144" s="3" t="s">
        <v>306</v>
      </c>
      <c r="C144" s="3" t="s">
        <v>82</v>
      </c>
      <c r="D144" s="3" t="s">
        <v>62</v>
      </c>
      <c r="E144" s="3">
        <v>23</v>
      </c>
      <c r="F144" s="2">
        <v>68.599999999999994</v>
      </c>
      <c r="G144" s="198">
        <v>4</v>
      </c>
      <c r="H144" s="72">
        <v>3.2</v>
      </c>
      <c r="I144" s="11">
        <v>7.3</v>
      </c>
      <c r="J144" s="10">
        <v>6.5</v>
      </c>
      <c r="K144" s="2">
        <v>0.8</v>
      </c>
      <c r="L144" s="5">
        <v>132.6</v>
      </c>
      <c r="M144" s="3">
        <f t="shared" si="3"/>
        <v>84.5</v>
      </c>
      <c r="N144" s="2">
        <v>100.9</v>
      </c>
      <c r="O144" s="3">
        <f>100-(_xlfn.PERCENTRANK.INC($N$2:$N$151,N144)*100)</f>
        <v>48.4</v>
      </c>
      <c r="P144" s="2">
        <v>18.3</v>
      </c>
      <c r="Q144" s="63">
        <v>59.6</v>
      </c>
      <c r="R144" s="79">
        <v>62.9</v>
      </c>
      <c r="S144" s="65">
        <v>3.1</v>
      </c>
      <c r="T144" s="2">
        <v>12.4</v>
      </c>
      <c r="U144" s="147">
        <v>6</v>
      </c>
      <c r="V144" s="5">
        <v>2.9</v>
      </c>
      <c r="W144" s="2">
        <v>1.4</v>
      </c>
      <c r="X144" s="2">
        <v>1.6</v>
      </c>
      <c r="Y144" s="14">
        <v>32.4</v>
      </c>
      <c r="Z144" s="170">
        <v>2.1</v>
      </c>
      <c r="AA144" s="150">
        <v>80.300000000000011</v>
      </c>
      <c r="AB144" s="150">
        <v>42.9</v>
      </c>
      <c r="AC144" s="22">
        <v>15.2</v>
      </c>
      <c r="AD144" s="150">
        <v>42.9</v>
      </c>
      <c r="AE144" s="150">
        <f>(0.3*P144)+(0.25*R144)+(0.2*G144)+(0.15*U144)+(0.1*Y144)</f>
        <v>26.155000000000001</v>
      </c>
      <c r="AF144" s="150">
        <f>((U144+G144)-V144)*_xlfn.PERCENTRANK.INC($V$2:$V$151,V144)</f>
        <v>0</v>
      </c>
      <c r="AG144" s="150">
        <f>(0.35*I144)+(0.2*K144)+(0.15*O144)+(0.15+X144)+(0.15+W144)</f>
        <v>13.274999999999999</v>
      </c>
      <c r="AH144" s="297">
        <f>(AE144*0.4)+(AF144*0.3)+(AG144*0.3)</f>
        <v>14.444500000000001</v>
      </c>
      <c r="AI144" s="3" t="s">
        <v>345</v>
      </c>
    </row>
    <row r="145" spans="1:35" ht="15" thickBot="1" x14ac:dyDescent="0.35">
      <c r="A145" s="2" t="s">
        <v>52</v>
      </c>
      <c r="B145" s="3" t="s">
        <v>307</v>
      </c>
      <c r="C145" s="3" t="s">
        <v>308</v>
      </c>
      <c r="D145" s="3" t="s">
        <v>75</v>
      </c>
      <c r="E145" s="3">
        <v>18</v>
      </c>
      <c r="F145" s="2">
        <v>60.4</v>
      </c>
      <c r="G145" s="158">
        <v>3.9</v>
      </c>
      <c r="H145" s="223">
        <v>2.9</v>
      </c>
      <c r="I145" s="79">
        <v>6.7</v>
      </c>
      <c r="J145" s="10">
        <v>6.7</v>
      </c>
      <c r="K145" s="2">
        <v>0</v>
      </c>
      <c r="L145" s="17">
        <v>123.4</v>
      </c>
      <c r="M145" s="3">
        <f t="shared" si="3"/>
        <v>44.9</v>
      </c>
      <c r="N145" s="2">
        <v>104.6</v>
      </c>
      <c r="O145" s="3">
        <f>100-(_xlfn.PERCENTRANK.INC($N$2:$N$151,N145)*100)</f>
        <v>33.599999999999994</v>
      </c>
      <c r="P145" s="2">
        <v>22.5</v>
      </c>
      <c r="Q145" s="59">
        <v>59.7</v>
      </c>
      <c r="R145" s="11">
        <v>64.2</v>
      </c>
      <c r="S145" s="194">
        <v>2.2000000000000002</v>
      </c>
      <c r="T145" s="2">
        <v>12.6</v>
      </c>
      <c r="U145" s="162">
        <v>8.5</v>
      </c>
      <c r="V145" s="192">
        <v>12.9</v>
      </c>
      <c r="W145" s="2">
        <v>1.4</v>
      </c>
      <c r="X145" s="193">
        <v>1</v>
      </c>
      <c r="Y145" s="14">
        <v>34.1</v>
      </c>
      <c r="Z145" s="185">
        <v>2.6</v>
      </c>
      <c r="AA145" s="150">
        <v>87.5</v>
      </c>
      <c r="AB145" s="150">
        <v>47.4</v>
      </c>
      <c r="AC145" s="197">
        <v>14</v>
      </c>
      <c r="AD145" s="150">
        <v>44.4</v>
      </c>
      <c r="AE145" s="150">
        <f>(0.3*P145)+(0.25*R145)+(0.2*G145)+(0.15*U145)+(0.1*Y145)</f>
        <v>28.265000000000001</v>
      </c>
      <c r="AF145" s="150">
        <f>((U145+G145)-V145)*_xlfn.PERCENTRANK.INC($V$2:$V$151,V145)</f>
        <v>-0.2145</v>
      </c>
      <c r="AG145" s="150">
        <f>(0.35*I145)+(0.2*K145)+(0.15*O145)+(0.15+X145)+(0.15+W145)</f>
        <v>10.084999999999997</v>
      </c>
      <c r="AH145" s="297">
        <f>(AE145*0.4)+(AF145*0.3)+(AG145*0.3)</f>
        <v>14.267150000000001</v>
      </c>
      <c r="AI145" s="3" t="s">
        <v>345</v>
      </c>
    </row>
    <row r="146" spans="1:35" ht="15" thickBot="1" x14ac:dyDescent="0.35">
      <c r="A146" s="2" t="s">
        <v>52</v>
      </c>
      <c r="B146" s="3" t="s">
        <v>309</v>
      </c>
      <c r="C146" s="3" t="s">
        <v>310</v>
      </c>
      <c r="D146" s="3" t="s">
        <v>71</v>
      </c>
      <c r="E146" s="3">
        <v>21</v>
      </c>
      <c r="F146" s="2">
        <v>78.400000000000006</v>
      </c>
      <c r="G146" s="69">
        <v>4.3</v>
      </c>
      <c r="H146" s="2">
        <v>2.6</v>
      </c>
      <c r="I146" s="161">
        <v>3.5</v>
      </c>
      <c r="J146" s="59">
        <v>4.3</v>
      </c>
      <c r="K146" s="2">
        <v>-0.8</v>
      </c>
      <c r="L146" s="10">
        <v>126.2</v>
      </c>
      <c r="M146" s="3">
        <f t="shared" ref="M146:M166" si="4">(_xlfn.PERCENTRANK.INC($L$17:$L$166,L146)*100)</f>
        <v>61</v>
      </c>
      <c r="N146" s="277">
        <v>110.1</v>
      </c>
      <c r="O146" s="3">
        <f>100-(_xlfn.PERCENTRANK.INC($N$2:$N$151,N146)*100)</f>
        <v>15.5</v>
      </c>
      <c r="P146" s="70">
        <v>23</v>
      </c>
      <c r="Q146" s="7">
        <v>59</v>
      </c>
      <c r="R146" s="63">
        <v>62.2</v>
      </c>
      <c r="S146" s="6">
        <v>10.5</v>
      </c>
      <c r="T146" s="20">
        <v>18.5</v>
      </c>
      <c r="U146" s="2">
        <v>13.2</v>
      </c>
      <c r="V146" s="171">
        <v>9.9</v>
      </c>
      <c r="W146" s="2">
        <v>2.5</v>
      </c>
      <c r="X146" s="193">
        <v>1</v>
      </c>
      <c r="Y146" s="14">
        <v>32.9</v>
      </c>
      <c r="Z146" s="185">
        <v>2.6</v>
      </c>
      <c r="AA146" s="150">
        <v>78.5</v>
      </c>
      <c r="AB146" s="150">
        <v>61.1</v>
      </c>
      <c r="AC146" s="263">
        <v>1</v>
      </c>
      <c r="AD146" s="150">
        <v>9.1</v>
      </c>
      <c r="AE146" s="150">
        <f>(0.3*P146)+(0.25*R146)+(0.2*G146)+(0.15*U146)+(0.1*Y146)</f>
        <v>28.58</v>
      </c>
      <c r="AF146" s="150">
        <f>((U146+G146)-V146)*_xlfn.PERCENTRANK.INC($V$2:$V$151,V146)</f>
        <v>1.3755999999999999</v>
      </c>
      <c r="AG146" s="150">
        <f>(0.35*I146)+(0.2*K146)+(0.15*O146)+(0.15+X146)+(0.15+W146)</f>
        <v>7.1899999999999995</v>
      </c>
      <c r="AH146" s="297">
        <f>(AE146*0.4)+(AF146*0.3)+(AG146*0.3)</f>
        <v>14.00168</v>
      </c>
      <c r="AI146" s="3" t="s">
        <v>345</v>
      </c>
    </row>
    <row r="147" spans="1:35" ht="15" thickBot="1" x14ac:dyDescent="0.35">
      <c r="A147" s="2" t="s">
        <v>52</v>
      </c>
      <c r="B147" s="3" t="s">
        <v>311</v>
      </c>
      <c r="C147" s="3" t="s">
        <v>312</v>
      </c>
      <c r="D147" s="3" t="s">
        <v>88</v>
      </c>
      <c r="E147" s="3">
        <v>21</v>
      </c>
      <c r="F147" s="2">
        <v>85</v>
      </c>
      <c r="G147" s="158">
        <v>3.9</v>
      </c>
      <c r="H147" s="2">
        <v>2.5</v>
      </c>
      <c r="I147" s="72">
        <v>3.7</v>
      </c>
      <c r="J147" s="7">
        <v>3.9</v>
      </c>
      <c r="K147" s="2">
        <v>-0.2</v>
      </c>
      <c r="L147" s="17">
        <v>123.8</v>
      </c>
      <c r="M147" s="3">
        <f t="shared" si="4"/>
        <v>48.3</v>
      </c>
      <c r="N147" s="272">
        <v>113</v>
      </c>
      <c r="O147" s="3">
        <f>100-(_xlfn.PERCENTRANK.INC($N$2:$N$151,N147)*100)</f>
        <v>8.0999999999999943</v>
      </c>
      <c r="P147" s="2">
        <v>21.1</v>
      </c>
      <c r="Q147" s="20">
        <v>57.8</v>
      </c>
      <c r="R147" s="17">
        <v>64.400000000000006</v>
      </c>
      <c r="S147" s="2">
        <v>5.0999999999999996</v>
      </c>
      <c r="T147" s="2">
        <v>10.3</v>
      </c>
      <c r="U147" s="65">
        <v>9.1</v>
      </c>
      <c r="V147" s="178">
        <v>12.2</v>
      </c>
      <c r="W147" s="184">
        <v>0.4</v>
      </c>
      <c r="X147" s="2">
        <v>2.2999999999999998</v>
      </c>
      <c r="Y147" s="190">
        <v>62.4</v>
      </c>
      <c r="Z147" s="225">
        <v>1.6</v>
      </c>
      <c r="AA147" s="150">
        <v>82.399999999999991</v>
      </c>
      <c r="AB147" s="150">
        <v>54.900000000000006</v>
      </c>
      <c r="AC147" s="14">
        <v>5.0999999999999996</v>
      </c>
      <c r="AD147" s="150">
        <v>43.1</v>
      </c>
      <c r="AE147" s="150">
        <f>(0.3*P147)+(0.25*R147)+(0.2*G147)+(0.15*U147)+(0.1*Y147)</f>
        <v>30.814999999999998</v>
      </c>
      <c r="AF147" s="150">
        <f>((U147+G147)-V147)*_xlfn.PERCENTRANK.INC($V$2:$V$151,V147)</f>
        <v>0.28400000000000025</v>
      </c>
      <c r="AG147" s="150">
        <f>(0.35*I147)+(0.2*K147)+(0.15*O147)+(0.15+X147)+(0.15+W147)</f>
        <v>5.469999999999998</v>
      </c>
      <c r="AH147" s="297">
        <f>(AE147*0.4)+(AF147*0.3)+(AG147*0.3)</f>
        <v>14.052200000000001</v>
      </c>
      <c r="AI147" s="3" t="s">
        <v>345</v>
      </c>
    </row>
    <row r="148" spans="1:35" ht="15" thickBot="1" x14ac:dyDescent="0.35">
      <c r="A148" s="2" t="s">
        <v>48</v>
      </c>
      <c r="B148" s="3" t="s">
        <v>313</v>
      </c>
      <c r="C148" s="3" t="s">
        <v>314</v>
      </c>
      <c r="D148" s="3" t="s">
        <v>59</v>
      </c>
      <c r="E148" s="3">
        <v>21</v>
      </c>
      <c r="F148" s="2">
        <v>73.2</v>
      </c>
      <c r="G148" s="212">
        <v>3.8</v>
      </c>
      <c r="H148" s="20">
        <v>3.3</v>
      </c>
      <c r="I148" s="79">
        <v>6.6</v>
      </c>
      <c r="J148" s="17">
        <v>5.5</v>
      </c>
      <c r="K148" s="2">
        <v>1.1000000000000001</v>
      </c>
      <c r="L148" s="10">
        <v>126.9</v>
      </c>
      <c r="M148" s="3">
        <f t="shared" si="4"/>
        <v>66.400000000000006</v>
      </c>
      <c r="N148" s="2">
        <v>101.2</v>
      </c>
      <c r="O148" s="3">
        <f>100-(_xlfn.PERCENTRANK.INC($N$2:$N$151,N148)*100)</f>
        <v>45.699999999999996</v>
      </c>
      <c r="P148" s="2">
        <v>19.899999999999999</v>
      </c>
      <c r="Q148" s="11">
        <v>61.2</v>
      </c>
      <c r="R148" s="59">
        <v>62.7</v>
      </c>
      <c r="S148" s="194">
        <v>2.2000000000000002</v>
      </c>
      <c r="T148" s="2">
        <v>9.9</v>
      </c>
      <c r="U148" s="2">
        <v>10.8</v>
      </c>
      <c r="V148" s="220">
        <v>7.8</v>
      </c>
      <c r="W148" s="66">
        <v>0.2</v>
      </c>
      <c r="X148" s="184">
        <v>1.4</v>
      </c>
      <c r="Y148" s="222">
        <v>20.6</v>
      </c>
      <c r="Z148" s="207">
        <v>2.2000000000000002</v>
      </c>
      <c r="AA148" s="150">
        <v>75</v>
      </c>
      <c r="AB148" s="150">
        <v>57.099999999999994</v>
      </c>
      <c r="AC148" s="197">
        <v>13.6</v>
      </c>
      <c r="AD148" s="150">
        <v>42.3</v>
      </c>
      <c r="AE148" s="150">
        <f>(0.3*P148)+(0.25*R148)+(0.2*G148)+(0.15*U148)+(0.1*Y148)</f>
        <v>26.085000000000001</v>
      </c>
      <c r="AF148" s="150">
        <f>((U148+G148)-V148)*_xlfn.PERCENTRANK.INC($V$2:$V$151,V148)</f>
        <v>0.31280000000000008</v>
      </c>
      <c r="AG148" s="150">
        <f>(0.35*I148)+(0.2*K148)+(0.15*O148)+(0.15+X148)+(0.15+W148)</f>
        <v>11.284999999999998</v>
      </c>
      <c r="AH148" s="297">
        <f>(AE148*0.4)+(AF148*0.3)+(AG148*0.3)</f>
        <v>13.913340000000002</v>
      </c>
      <c r="AI148" s="3" t="s">
        <v>345</v>
      </c>
    </row>
    <row r="149" spans="1:35" ht="15" thickBot="1" x14ac:dyDescent="0.35">
      <c r="A149" s="2" t="s">
        <v>52</v>
      </c>
      <c r="B149" s="3" t="s">
        <v>315</v>
      </c>
      <c r="C149" s="3" t="s">
        <v>267</v>
      </c>
      <c r="D149" s="3" t="s">
        <v>218</v>
      </c>
      <c r="E149" s="3">
        <v>20</v>
      </c>
      <c r="F149" s="2">
        <v>73.900000000000006</v>
      </c>
      <c r="G149" s="58">
        <v>4.8</v>
      </c>
      <c r="H149" s="2">
        <v>2.4</v>
      </c>
      <c r="I149" s="59">
        <v>6.1</v>
      </c>
      <c r="J149" s="10">
        <v>6.7</v>
      </c>
      <c r="K149" s="2">
        <v>-0.6</v>
      </c>
      <c r="L149" s="5">
        <v>141.1</v>
      </c>
      <c r="M149" s="3">
        <f t="shared" si="4"/>
        <v>96.6</v>
      </c>
      <c r="N149" s="274">
        <v>111.1</v>
      </c>
      <c r="O149" s="3">
        <f>100-(_xlfn.PERCENTRANK.INC($N$2:$N$151,N149)*100)</f>
        <v>11.5</v>
      </c>
      <c r="P149" s="2">
        <v>18.600000000000001</v>
      </c>
      <c r="Q149" s="17">
        <v>62.2</v>
      </c>
      <c r="R149" s="5">
        <v>68.2</v>
      </c>
      <c r="S149" s="2">
        <v>4.3</v>
      </c>
      <c r="T149" s="2">
        <v>11.3</v>
      </c>
      <c r="U149" s="2">
        <v>9.8000000000000007</v>
      </c>
      <c r="V149" s="18">
        <v>8.4</v>
      </c>
      <c r="W149" s="2">
        <v>1.3</v>
      </c>
      <c r="X149" s="146">
        <v>1.2</v>
      </c>
      <c r="Y149" s="14">
        <v>42</v>
      </c>
      <c r="Z149" s="185">
        <v>2.6</v>
      </c>
      <c r="AA149" s="150">
        <v>93.4</v>
      </c>
      <c r="AB149" s="150">
        <v>56.3</v>
      </c>
      <c r="AC149" s="236">
        <v>11.4</v>
      </c>
      <c r="AD149" s="150">
        <v>43.6</v>
      </c>
      <c r="AE149" s="150">
        <f>(0.3*P149)+(0.25*R149)+(0.2*G149)+(0.15*U149)+(0.1*Y149)</f>
        <v>29.26</v>
      </c>
      <c r="AF149" s="150">
        <f>((U149+G149)-V149)*_xlfn.PERCENTRANK.INC($V$2:$V$151,V149)</f>
        <v>0.45260000000000006</v>
      </c>
      <c r="AG149" s="150">
        <f>(0.35*I149)+(0.2*K149)+(0.15*O149)+(0.15+X149)+(0.15+W149)</f>
        <v>6.5399999999999991</v>
      </c>
      <c r="AH149" s="297">
        <f>(AE149*0.4)+(AF149*0.3)+(AG149*0.3)</f>
        <v>13.801780000000001</v>
      </c>
      <c r="AI149" s="3" t="s">
        <v>345</v>
      </c>
    </row>
    <row r="150" spans="1:35" ht="15" thickBot="1" x14ac:dyDescent="0.35">
      <c r="A150" s="2" t="s">
        <v>41</v>
      </c>
      <c r="B150" s="3" t="s">
        <v>316</v>
      </c>
      <c r="C150" s="3" t="s">
        <v>317</v>
      </c>
      <c r="D150" s="3" t="s">
        <v>165</v>
      </c>
      <c r="E150" s="3">
        <v>22</v>
      </c>
      <c r="F150" s="2">
        <v>74.7</v>
      </c>
      <c r="G150" s="69">
        <v>4.2</v>
      </c>
      <c r="H150" s="2">
        <v>2.5</v>
      </c>
      <c r="I150" s="7">
        <v>5.3</v>
      </c>
      <c r="J150" s="17">
        <v>5.9</v>
      </c>
      <c r="K150" s="2">
        <v>-0.6</v>
      </c>
      <c r="L150" s="5">
        <v>137.5</v>
      </c>
      <c r="M150" s="3">
        <f t="shared" si="4"/>
        <v>92.600000000000009</v>
      </c>
      <c r="N150" s="270">
        <v>110.4</v>
      </c>
      <c r="O150" s="3">
        <f>100-(_xlfn.PERCENTRANK.INC($N$2:$N$151,N150)*100)</f>
        <v>14.799999999999997</v>
      </c>
      <c r="P150" s="2">
        <v>19.399999999999999</v>
      </c>
      <c r="Q150" s="5">
        <v>69.400000000000006</v>
      </c>
      <c r="R150" s="5">
        <v>71.5</v>
      </c>
      <c r="S150" s="79">
        <v>11.6</v>
      </c>
      <c r="T150" s="10">
        <v>23.1</v>
      </c>
      <c r="U150" s="66">
        <v>8.1999999999999993</v>
      </c>
      <c r="V150" s="239">
        <v>13.3</v>
      </c>
      <c r="W150" s="2">
        <v>1.2</v>
      </c>
      <c r="X150" s="66">
        <v>1.3</v>
      </c>
      <c r="Y150" s="14">
        <v>39.799999999999997</v>
      </c>
      <c r="Z150" s="14">
        <v>3</v>
      </c>
      <c r="AA150" s="150">
        <v>78.7</v>
      </c>
      <c r="AB150" s="150">
        <v>63.4</v>
      </c>
      <c r="AC150" s="14">
        <v>3.6</v>
      </c>
      <c r="AD150" s="150">
        <v>62.5</v>
      </c>
      <c r="AE150" s="150">
        <f>(0.3*P150)+(0.25*R150)+(0.2*G150)+(0.15*U150)+(0.1*Y150)</f>
        <v>29.745000000000001</v>
      </c>
      <c r="AF150" s="150">
        <f>((U150+G150)-V150)*_xlfn.PERCENTRANK.INC($V$2:$V$151,V150)</f>
        <v>-0.43470000000000103</v>
      </c>
      <c r="AG150" s="150">
        <f>(0.35*I150)+(0.2*K150)+(0.15*O150)+(0.15+X150)+(0.15+W150)</f>
        <v>6.754999999999999</v>
      </c>
      <c r="AH150" s="297">
        <f>(AE150*0.4)+(AF150*0.3)+(AG150*0.3)</f>
        <v>13.794090000000001</v>
      </c>
      <c r="AI150" s="3" t="s">
        <v>345</v>
      </c>
    </row>
    <row r="151" spans="1:35" ht="15" thickBot="1" x14ac:dyDescent="0.35">
      <c r="A151" s="2" t="s">
        <v>41</v>
      </c>
      <c r="B151" s="3" t="s">
        <v>318</v>
      </c>
      <c r="C151" s="3" t="s">
        <v>319</v>
      </c>
      <c r="D151" s="3" t="s">
        <v>51</v>
      </c>
      <c r="E151" s="3">
        <v>21</v>
      </c>
      <c r="F151" s="2">
        <v>62.1</v>
      </c>
      <c r="G151" s="212">
        <v>3.8</v>
      </c>
      <c r="H151" s="2">
        <v>2.5</v>
      </c>
      <c r="I151" s="17">
        <v>7.9</v>
      </c>
      <c r="J151" s="10">
        <v>6.9</v>
      </c>
      <c r="K151" s="2">
        <v>0.9</v>
      </c>
      <c r="L151" s="5">
        <v>143.4</v>
      </c>
      <c r="M151" s="3">
        <f t="shared" si="4"/>
        <v>97.899999999999991</v>
      </c>
      <c r="N151" s="2">
        <v>105</v>
      </c>
      <c r="O151" s="3">
        <f>100-(_xlfn.PERCENTRANK.INC($N$2:$N$151,N151)*100)</f>
        <v>31.599999999999994</v>
      </c>
      <c r="P151" s="21">
        <v>15.8</v>
      </c>
      <c r="Q151" s="10">
        <v>64</v>
      </c>
      <c r="R151" s="10">
        <v>67.5</v>
      </c>
      <c r="S151" s="147">
        <v>1.7</v>
      </c>
      <c r="T151" s="66">
        <v>8.8000000000000007</v>
      </c>
      <c r="U151" s="2">
        <v>9.6999999999999993</v>
      </c>
      <c r="V151" s="5">
        <v>3.8</v>
      </c>
      <c r="W151" s="2">
        <v>0.8</v>
      </c>
      <c r="X151" s="147">
        <v>1.1000000000000001</v>
      </c>
      <c r="Y151" s="243">
        <v>27</v>
      </c>
      <c r="Z151" s="232">
        <v>2</v>
      </c>
      <c r="AA151" s="150">
        <v>89.600000000000009</v>
      </c>
      <c r="AB151" s="150">
        <v>57.099999999999994</v>
      </c>
      <c r="AC151" s="22">
        <v>15.9</v>
      </c>
      <c r="AD151" s="150">
        <v>43.3</v>
      </c>
      <c r="AE151" s="150">
        <f>(0.3*P151)+(0.25*R151)+(0.2*G151)+(0.15*U151)+(0.1*Y151)</f>
        <v>26.53</v>
      </c>
      <c r="AF151" s="150">
        <f>((U151+G151)-V151)*_xlfn.PERCENTRANK.INC($V$2:$V$151,V151)</f>
        <v>5.8199999999999995E-2</v>
      </c>
      <c r="AG151" s="150">
        <f>(0.35*I151)+(0.2*K151)+(0.15*O151)+(0.15+X151)+(0.15+W151)</f>
        <v>9.884999999999998</v>
      </c>
      <c r="AH151" s="297">
        <f>(AE151*0.4)+(AF151*0.3)+(AG151*0.3)</f>
        <v>13.59496</v>
      </c>
      <c r="AI151" s="3" t="s">
        <v>345</v>
      </c>
    </row>
    <row r="152" spans="1:35" ht="15" thickBot="1" x14ac:dyDescent="0.35">
      <c r="A152" s="2" t="s">
        <v>52</v>
      </c>
      <c r="B152" s="3" t="s">
        <v>320</v>
      </c>
      <c r="C152" s="3" t="s">
        <v>321</v>
      </c>
      <c r="D152" s="3" t="s">
        <v>228</v>
      </c>
      <c r="E152" s="3">
        <v>21</v>
      </c>
      <c r="F152" s="2">
        <v>87.3</v>
      </c>
      <c r="G152" s="198">
        <v>4.0999999999999996</v>
      </c>
      <c r="H152" s="2">
        <v>2.2000000000000002</v>
      </c>
      <c r="I152" s="72">
        <v>3.7</v>
      </c>
      <c r="J152" s="11">
        <v>4.9000000000000004</v>
      </c>
      <c r="K152" s="2">
        <v>-1.3</v>
      </c>
      <c r="L152" s="145">
        <v>116.4</v>
      </c>
      <c r="M152" s="3">
        <f t="shared" si="4"/>
        <v>11.4</v>
      </c>
      <c r="N152" s="235">
        <v>115.6</v>
      </c>
      <c r="O152" s="3">
        <f>100-(_xlfn.PERCENTRANK.INC($N$2:$N$151,N152)*100)</f>
        <v>3.1000000000000085</v>
      </c>
      <c r="P152" s="145">
        <v>26.4</v>
      </c>
      <c r="Q152" s="2">
        <v>51.8</v>
      </c>
      <c r="R152" s="179">
        <v>58.2</v>
      </c>
      <c r="S152" s="2">
        <v>3.6</v>
      </c>
      <c r="T152" s="2">
        <v>10.3</v>
      </c>
      <c r="U152" s="2">
        <v>12.4</v>
      </c>
      <c r="V152" s="62">
        <v>13.5</v>
      </c>
      <c r="W152" s="162">
        <v>0.3</v>
      </c>
      <c r="X152" s="60">
        <v>2.4</v>
      </c>
      <c r="Y152" s="14">
        <v>45.5</v>
      </c>
      <c r="Z152" s="14">
        <v>2.8</v>
      </c>
      <c r="AA152" s="150">
        <v>83.7</v>
      </c>
      <c r="AB152" s="150">
        <v>47.599999999999994</v>
      </c>
      <c r="AC152" s="197">
        <v>14</v>
      </c>
      <c r="AD152" s="150">
        <v>36.4</v>
      </c>
      <c r="AE152" s="150">
        <f>(0.3*P152)+(0.25*R152)+(0.2*G152)+(0.15*U152)+(0.1*Y152)</f>
        <v>29.7</v>
      </c>
      <c r="AF152" s="150">
        <f>((U152+G152)-V152)*_xlfn.PERCENTRANK.INC($V$2:$V$151,V152)</f>
        <v>1.488</v>
      </c>
      <c r="AG152" s="150">
        <f>(0.35*I152)+(0.2*K152)+(0.15*O152)+(0.15+X152)+(0.15+W152)</f>
        <v>4.5000000000000009</v>
      </c>
      <c r="AH152" s="297">
        <f>(AE152*0.4)+(AF152*0.3)+(AG152*0.3)</f>
        <v>13.676400000000001</v>
      </c>
      <c r="AI152" s="3" t="s">
        <v>345</v>
      </c>
    </row>
    <row r="153" spans="1:35" ht="15" thickBot="1" x14ac:dyDescent="0.35">
      <c r="A153" s="2" t="s">
        <v>34</v>
      </c>
      <c r="B153" s="3" t="s">
        <v>322</v>
      </c>
      <c r="C153" s="3" t="s">
        <v>323</v>
      </c>
      <c r="D153" s="3" t="s">
        <v>37</v>
      </c>
      <c r="E153" s="3">
        <v>22</v>
      </c>
      <c r="F153" s="2">
        <v>79.8</v>
      </c>
      <c r="G153" s="198">
        <v>4</v>
      </c>
      <c r="H153" s="124">
        <v>2.8</v>
      </c>
      <c r="I153" s="206">
        <v>3.4</v>
      </c>
      <c r="J153" s="7">
        <v>3.9</v>
      </c>
      <c r="K153" s="2">
        <v>-0.6</v>
      </c>
      <c r="L153" s="79">
        <v>120.9</v>
      </c>
      <c r="M153" s="3">
        <f t="shared" si="4"/>
        <v>34.200000000000003</v>
      </c>
      <c r="N153" s="162">
        <v>108.5</v>
      </c>
      <c r="O153" s="3">
        <f>100-(_xlfn.PERCENTRANK.INC($N$2:$N$151,N153)*100)</f>
        <v>19.799999999999997</v>
      </c>
      <c r="P153" s="2">
        <v>21.8</v>
      </c>
      <c r="Q153" s="163">
        <v>53.9</v>
      </c>
      <c r="R153" s="61">
        <v>59.5</v>
      </c>
      <c r="S153" s="21">
        <v>1.8</v>
      </c>
      <c r="T153" s="278">
        <v>5.0999999999999996</v>
      </c>
      <c r="U153" s="2">
        <v>12.6</v>
      </c>
      <c r="V153" s="233">
        <v>12.4</v>
      </c>
      <c r="W153" s="162">
        <v>0.3</v>
      </c>
      <c r="X153" s="184">
        <v>1.4</v>
      </c>
      <c r="Y153" s="14">
        <v>38.4</v>
      </c>
      <c r="Z153" s="225">
        <v>1.6</v>
      </c>
      <c r="AA153" s="150">
        <v>85.399999999999991</v>
      </c>
      <c r="AB153" s="150">
        <v>54.2</v>
      </c>
      <c r="AC153" s="153">
        <v>11.7</v>
      </c>
      <c r="AD153" s="150">
        <v>35.799999999999997</v>
      </c>
      <c r="AE153" s="150">
        <f>(0.3*P153)+(0.25*R153)+(0.2*G153)+(0.15*U153)+(0.1*Y153)</f>
        <v>27.945</v>
      </c>
      <c r="AF153" s="150">
        <f>((U153+G153)-V153)*_xlfn.PERCENTRANK.INC($V$2:$V$151,V153)</f>
        <v>1.6044000000000005</v>
      </c>
      <c r="AG153" s="150">
        <f>(0.35*I153)+(0.2*K153)+(0.15*O153)+(0.15+X153)+(0.15+W153)</f>
        <v>6.0399999999999991</v>
      </c>
      <c r="AH153" s="297">
        <f>(AE153*0.4)+(AF153*0.3)+(AG153*0.3)</f>
        <v>13.47132</v>
      </c>
      <c r="AI153" s="3" t="s">
        <v>345</v>
      </c>
    </row>
    <row r="154" spans="1:35" ht="15" thickBot="1" x14ac:dyDescent="0.35">
      <c r="A154" s="2" t="s">
        <v>48</v>
      </c>
      <c r="B154" s="3" t="s">
        <v>324</v>
      </c>
      <c r="C154" s="3" t="s">
        <v>325</v>
      </c>
      <c r="D154" s="3" t="s">
        <v>228</v>
      </c>
      <c r="E154" s="3">
        <v>19</v>
      </c>
      <c r="F154" s="2">
        <v>83.2</v>
      </c>
      <c r="G154" s="158">
        <v>4</v>
      </c>
      <c r="H154" s="2">
        <v>2</v>
      </c>
      <c r="I154" s="163">
        <v>2</v>
      </c>
      <c r="J154" s="6">
        <v>3.5</v>
      </c>
      <c r="K154" s="184">
        <v>-1.6</v>
      </c>
      <c r="L154" s="17">
        <v>124.2</v>
      </c>
      <c r="M154" s="3">
        <f t="shared" si="4"/>
        <v>52.300000000000004</v>
      </c>
      <c r="N154" s="279">
        <v>116.5</v>
      </c>
      <c r="O154" s="3">
        <f>100-(_xlfn.PERCENTRANK.INC($N$2:$N$151,N154)*100)</f>
        <v>1.2999999999999972</v>
      </c>
      <c r="P154" s="200">
        <v>23.8</v>
      </c>
      <c r="Q154" s="175">
        <v>55.7</v>
      </c>
      <c r="R154" s="17">
        <v>64.5</v>
      </c>
      <c r="S154" s="2">
        <v>3.7</v>
      </c>
      <c r="T154" s="2">
        <v>13.4</v>
      </c>
      <c r="U154" s="2">
        <v>11.6</v>
      </c>
      <c r="V154" s="155">
        <v>14.1</v>
      </c>
      <c r="W154" s="162">
        <v>0.3</v>
      </c>
      <c r="X154" s="244">
        <v>0.8</v>
      </c>
      <c r="Y154" s="149">
        <v>63.7</v>
      </c>
      <c r="Z154" s="14">
        <v>3.2</v>
      </c>
      <c r="AA154" s="150">
        <v>88.9</v>
      </c>
      <c r="AB154" s="150">
        <v>55.000000000000007</v>
      </c>
      <c r="AC154" s="14">
        <v>5.7</v>
      </c>
      <c r="AD154" s="150">
        <v>38.1</v>
      </c>
      <c r="AE154" s="150">
        <f>(0.3*P154)+(0.25*R154)+(0.2*G154)+(0.15*U154)+(0.1*Y154)</f>
        <v>32.174999999999997</v>
      </c>
      <c r="AF154" s="150">
        <f>((U154+G154)-V154)*_xlfn.PERCENTRANK.INC($V$2:$V$151,V154)</f>
        <v>0.82950000000000013</v>
      </c>
      <c r="AG154" s="150">
        <f>(0.35*I154)+(0.2*K154)+(0.15*O154)+(0.15+X154)+(0.15+W154)</f>
        <v>1.9749999999999994</v>
      </c>
      <c r="AH154" s="297">
        <f>(AE154*0.4)+(AF154*0.3)+(AG154*0.3)</f>
        <v>13.711349999999998</v>
      </c>
      <c r="AI154" s="3" t="s">
        <v>345</v>
      </c>
    </row>
    <row r="155" spans="1:35" ht="15" thickBot="1" x14ac:dyDescent="0.35">
      <c r="A155" s="2" t="s">
        <v>52</v>
      </c>
      <c r="B155" s="3" t="s">
        <v>326</v>
      </c>
      <c r="C155" s="3" t="s">
        <v>95</v>
      </c>
      <c r="D155" s="3" t="s">
        <v>75</v>
      </c>
      <c r="E155" s="3">
        <v>22</v>
      </c>
      <c r="F155" s="2">
        <v>83.6</v>
      </c>
      <c r="G155" s="151">
        <v>4.4000000000000004</v>
      </c>
      <c r="H155" s="17">
        <v>4</v>
      </c>
      <c r="I155" s="11">
        <v>7.2</v>
      </c>
      <c r="J155" s="63">
        <v>4.0999999999999996</v>
      </c>
      <c r="K155" s="145">
        <v>3.1</v>
      </c>
      <c r="L155" s="5">
        <v>139.1</v>
      </c>
      <c r="M155" s="3">
        <f t="shared" si="4"/>
        <v>95.3</v>
      </c>
      <c r="N155" s="2">
        <v>99.4</v>
      </c>
      <c r="O155" s="3">
        <f>100-(_xlfn.PERCENTRANK.INC($N$2:$N$151,N155)*100)</f>
        <v>55.9</v>
      </c>
      <c r="P155" s="280">
        <v>12.2</v>
      </c>
      <c r="Q155" s="10">
        <v>64</v>
      </c>
      <c r="R155" s="17">
        <v>65.3</v>
      </c>
      <c r="S155" s="194">
        <v>2.2999999999999998</v>
      </c>
      <c r="T155" s="64">
        <v>8.6999999999999993</v>
      </c>
      <c r="U155" s="244">
        <v>3.5</v>
      </c>
      <c r="V155" s="5">
        <v>4.5</v>
      </c>
      <c r="W155" s="184">
        <v>0.4</v>
      </c>
      <c r="X155" s="2">
        <v>2.2000000000000002</v>
      </c>
      <c r="Y155" s="281">
        <v>12.4</v>
      </c>
      <c r="Z155" s="14">
        <v>3.2</v>
      </c>
      <c r="AA155" s="150">
        <v>83.3</v>
      </c>
      <c r="AB155" s="150">
        <v>53.300000000000004</v>
      </c>
      <c r="AC155" s="197">
        <v>13.9</v>
      </c>
      <c r="AD155" s="150">
        <v>43.3</v>
      </c>
      <c r="AE155" s="150">
        <f>(0.3*P155)+(0.25*R155)+(0.2*G155)+(0.15*U155)+(0.1*Y155)</f>
        <v>22.629999999999995</v>
      </c>
      <c r="AF155" s="150">
        <f>((U155+G155)-V155)*_xlfn.PERCENTRANK.INC($V$2:$V$151,V155)</f>
        <v>3.4000000000000002E-2</v>
      </c>
      <c r="AG155" s="150">
        <f>(0.35*I155)+(0.2*K155)+(0.15*O155)+(0.15+X155)+(0.15+W155)</f>
        <v>14.425000000000001</v>
      </c>
      <c r="AH155" s="297">
        <f>(AE155*0.4)+(AF155*0.3)+(AG155*0.3)</f>
        <v>13.389699999999998</v>
      </c>
      <c r="AI155" s="3" t="s">
        <v>345</v>
      </c>
    </row>
    <row r="156" spans="1:35" ht="15" thickBot="1" x14ac:dyDescent="0.35">
      <c r="A156" s="23" t="s">
        <v>34</v>
      </c>
      <c r="B156" s="3" t="s">
        <v>327</v>
      </c>
      <c r="C156" s="3" t="s">
        <v>328</v>
      </c>
      <c r="D156" s="3" t="s">
        <v>274</v>
      </c>
      <c r="E156" s="3">
        <v>20</v>
      </c>
      <c r="F156" s="23">
        <v>73.2</v>
      </c>
      <c r="G156" s="282">
        <v>3.7</v>
      </c>
      <c r="H156" s="283">
        <v>0.9</v>
      </c>
      <c r="I156" s="23">
        <v>0.8</v>
      </c>
      <c r="J156" s="37">
        <v>4.9000000000000004</v>
      </c>
      <c r="K156" s="284">
        <v>-4.0999999999999996</v>
      </c>
      <c r="L156" s="37">
        <v>122.1</v>
      </c>
      <c r="M156" s="3">
        <f t="shared" si="4"/>
        <v>41.6</v>
      </c>
      <c r="N156" s="285">
        <v>125.2</v>
      </c>
      <c r="O156" s="3">
        <f>100-(_xlfn.PERCENTRANK.INC($N$2:$N$151,N156)*100)</f>
        <v>0.5</v>
      </c>
      <c r="P156" s="84">
        <v>28</v>
      </c>
      <c r="Q156" s="31">
        <v>62.7</v>
      </c>
      <c r="R156" s="25">
        <v>66.599999999999994</v>
      </c>
      <c r="S156" s="23">
        <v>4.5</v>
      </c>
      <c r="T156" s="286">
        <v>17.399999999999999</v>
      </c>
      <c r="U156" s="287">
        <v>8.9</v>
      </c>
      <c r="V156" s="288">
        <v>12.2</v>
      </c>
      <c r="W156" s="23">
        <v>1</v>
      </c>
      <c r="X156" s="289">
        <v>1.2</v>
      </c>
      <c r="Y156" s="290">
        <v>55</v>
      </c>
      <c r="Z156" s="291">
        <v>2.6</v>
      </c>
      <c r="AA156" s="150">
        <v>77.8</v>
      </c>
      <c r="AB156" s="150">
        <v>68.899999999999991</v>
      </c>
      <c r="AC156" s="292">
        <v>9.6999999999999993</v>
      </c>
      <c r="AD156" s="150">
        <v>36.1</v>
      </c>
      <c r="AE156" s="150">
        <f>(0.3*P156)+(0.25*R156)+(0.2*G156)+(0.15*U156)+(0.1*Y156)</f>
        <v>32.625</v>
      </c>
      <c r="AF156" s="150">
        <f>((U156+G156)-V156)*_xlfn.PERCENTRANK.INC($V$2:$V$151,V156)</f>
        <v>0.14200000000000074</v>
      </c>
      <c r="AG156" s="150">
        <f>(0.35*I156)+(0.2*K156)+(0.15*O156)+(0.15+X156)+(0.15+W156)</f>
        <v>2.0349999999999997</v>
      </c>
      <c r="AH156" s="297">
        <f>(AE156*0.4)+(AF156*0.3)+(AG156*0.3)</f>
        <v>13.703100000000001</v>
      </c>
      <c r="AI156" s="3" t="s">
        <v>345</v>
      </c>
    </row>
    <row r="157" spans="1:35" ht="15" thickBot="1" x14ac:dyDescent="0.35">
      <c r="A157" s="2" t="s">
        <v>34</v>
      </c>
      <c r="B157" s="3" t="s">
        <v>329</v>
      </c>
      <c r="C157" s="3" t="s">
        <v>330</v>
      </c>
      <c r="D157" s="3" t="s">
        <v>200</v>
      </c>
      <c r="E157" s="3">
        <v>14</v>
      </c>
      <c r="F157" s="2">
        <v>51.1</v>
      </c>
      <c r="G157" s="198">
        <v>4</v>
      </c>
      <c r="H157" s="209">
        <v>1.2</v>
      </c>
      <c r="I157" s="72">
        <v>3.7</v>
      </c>
      <c r="J157" s="10">
        <v>7.1</v>
      </c>
      <c r="K157" s="293">
        <v>-3.5</v>
      </c>
      <c r="L157" s="5">
        <v>130.1</v>
      </c>
      <c r="M157" s="3">
        <f t="shared" si="4"/>
        <v>79.100000000000009</v>
      </c>
      <c r="N157" s="164">
        <v>120.8</v>
      </c>
      <c r="O157" s="3">
        <f>100-(_xlfn.PERCENTRANK.INC($N$2:$N$151,N157)*100)</f>
        <v>0.90000000000000568</v>
      </c>
      <c r="P157" s="19">
        <v>24</v>
      </c>
      <c r="Q157" s="10">
        <v>64.400000000000006</v>
      </c>
      <c r="R157" s="10">
        <v>66.8</v>
      </c>
      <c r="S157" s="163">
        <v>7.8</v>
      </c>
      <c r="T157" s="70">
        <v>15.3</v>
      </c>
      <c r="U157" s="2">
        <v>12.5</v>
      </c>
      <c r="V157" s="171">
        <v>9.8000000000000007</v>
      </c>
      <c r="W157" s="2">
        <v>1.1000000000000001</v>
      </c>
      <c r="X157" s="2">
        <v>1.5</v>
      </c>
      <c r="Y157" s="14">
        <v>31.9</v>
      </c>
      <c r="Z157" s="159">
        <v>4</v>
      </c>
      <c r="AA157" s="150">
        <v>78.400000000000006</v>
      </c>
      <c r="AB157" s="150">
        <v>65.8</v>
      </c>
      <c r="AC157" s="190">
        <v>11.9</v>
      </c>
      <c r="AD157" s="150">
        <v>42</v>
      </c>
      <c r="AE157" s="150">
        <f>(0.3*P157)+(0.25*R157)+(0.2*G157)+(0.15*U157)+(0.1*Y157)</f>
        <v>29.765000000000001</v>
      </c>
      <c r="AF157" s="150">
        <f>((U157+G157)-V157)*_xlfn.PERCENTRANK.INC($V$2:$V$151,V157)</f>
        <v>1.1992999999999998</v>
      </c>
      <c r="AG157" s="150">
        <f>(0.35*I157)+(0.2*K157)+(0.15*O157)+(0.15+X157)+(0.15+W157)</f>
        <v>3.6300000000000008</v>
      </c>
      <c r="AH157" s="297">
        <f>(AE157*0.4)+(AF157*0.3)+(AG157*0.3)</f>
        <v>13.354790000000001</v>
      </c>
      <c r="AI157" s="3" t="s">
        <v>345</v>
      </c>
    </row>
    <row r="158" spans="1:35" ht="15" thickBot="1" x14ac:dyDescent="0.35">
      <c r="A158" s="2" t="s">
        <v>52</v>
      </c>
      <c r="B158" s="3" t="s">
        <v>331</v>
      </c>
      <c r="C158" s="3" t="s">
        <v>332</v>
      </c>
      <c r="D158" s="3" t="s">
        <v>218</v>
      </c>
      <c r="E158" s="3">
        <v>21</v>
      </c>
      <c r="F158" s="2">
        <v>87.1</v>
      </c>
      <c r="G158" s="69">
        <v>4.2</v>
      </c>
      <c r="H158" s="6">
        <v>3.5</v>
      </c>
      <c r="I158" s="79">
        <v>6.7</v>
      </c>
      <c r="J158" s="11">
        <v>4.9000000000000004</v>
      </c>
      <c r="K158" s="174">
        <v>1.8</v>
      </c>
      <c r="L158" s="17">
        <v>123.9</v>
      </c>
      <c r="M158" s="3">
        <f t="shared" si="4"/>
        <v>49.6</v>
      </c>
      <c r="N158" s="2">
        <v>105.5</v>
      </c>
      <c r="O158" s="3">
        <f>100-(_xlfn.PERCENTRANK.INC($N$2:$N$151,N158)*100)</f>
        <v>28.799999999999997</v>
      </c>
      <c r="P158" s="2">
        <v>21.4</v>
      </c>
      <c r="Q158" s="19">
        <v>54.9</v>
      </c>
      <c r="R158" s="124">
        <v>57.2</v>
      </c>
      <c r="S158" s="165">
        <v>0.9</v>
      </c>
      <c r="T158" s="165">
        <v>6.4</v>
      </c>
      <c r="U158" s="65">
        <v>9</v>
      </c>
      <c r="V158" s="82">
        <v>9.4</v>
      </c>
      <c r="W158" s="64">
        <v>0.1</v>
      </c>
      <c r="X158" s="72">
        <v>2.8</v>
      </c>
      <c r="Y158" s="199">
        <v>15.1</v>
      </c>
      <c r="Z158" s="238">
        <v>1.7</v>
      </c>
      <c r="AA158" s="150">
        <v>85.399999999999991</v>
      </c>
      <c r="AB158" s="150">
        <v>44.7</v>
      </c>
      <c r="AC158" s="228">
        <v>14.1</v>
      </c>
      <c r="AD158" s="150">
        <v>42</v>
      </c>
      <c r="AE158" s="150">
        <f>(0.3*P158)+(0.25*R158)+(0.2*G158)+(0.15*U158)+(0.1*Y158)</f>
        <v>24.42</v>
      </c>
      <c r="AF158" s="150">
        <f>((U158+G158)-V158)*_xlfn.PERCENTRANK.INC($V$2:$V$151,V158)</f>
        <v>0.55859999999999976</v>
      </c>
      <c r="AG158" s="150">
        <f>(0.35*I158)+(0.2*K158)+(0.15*O158)+(0.15+X158)+(0.15+W158)</f>
        <v>10.224999999999998</v>
      </c>
      <c r="AH158" s="297">
        <f>(AE158*0.4)+(AF158*0.3)+(AG158*0.3)</f>
        <v>13.003079999999999</v>
      </c>
      <c r="AI158" s="3" t="s">
        <v>345</v>
      </c>
    </row>
    <row r="159" spans="1:35" ht="15" thickBot="1" x14ac:dyDescent="0.35">
      <c r="A159" s="2" t="s">
        <v>52</v>
      </c>
      <c r="B159" s="3" t="s">
        <v>333</v>
      </c>
      <c r="C159" s="3" t="s">
        <v>330</v>
      </c>
      <c r="D159" s="3" t="s">
        <v>200</v>
      </c>
      <c r="E159" s="3">
        <v>18</v>
      </c>
      <c r="F159" s="2">
        <v>71.2</v>
      </c>
      <c r="G159" s="198">
        <v>4.0999999999999996</v>
      </c>
      <c r="H159" s="293">
        <v>1</v>
      </c>
      <c r="I159" s="161">
        <v>3.5</v>
      </c>
      <c r="J159" s="5">
        <v>7.5</v>
      </c>
      <c r="K159" s="294">
        <v>-4</v>
      </c>
      <c r="L159" s="10">
        <v>125.5</v>
      </c>
      <c r="M159" s="3">
        <f t="shared" si="4"/>
        <v>59.699999999999996</v>
      </c>
      <c r="N159" s="269">
        <v>123.7</v>
      </c>
      <c r="O159" s="3">
        <f>100-(_xlfn.PERCENTRANK.INC($N$2:$N$151,N159)*100)</f>
        <v>0.59999999999999432</v>
      </c>
      <c r="P159" s="80">
        <v>25.6</v>
      </c>
      <c r="Q159" s="17">
        <v>63.2</v>
      </c>
      <c r="R159" s="10">
        <v>67.5</v>
      </c>
      <c r="S159" s="183">
        <v>1.6</v>
      </c>
      <c r="T159" s="2">
        <v>12.8</v>
      </c>
      <c r="U159" s="2">
        <v>11.1</v>
      </c>
      <c r="V159" s="12">
        <v>12</v>
      </c>
      <c r="W159" s="2">
        <v>1</v>
      </c>
      <c r="X159" s="244">
        <v>0.8</v>
      </c>
      <c r="Y159" s="14">
        <v>33.1</v>
      </c>
      <c r="Z159" s="170">
        <v>2.1</v>
      </c>
      <c r="AA159" s="150">
        <v>90</v>
      </c>
      <c r="AB159" s="150">
        <v>67.600000000000009</v>
      </c>
      <c r="AC159" s="228">
        <v>14.8</v>
      </c>
      <c r="AD159" s="150">
        <v>40</v>
      </c>
      <c r="AE159" s="150">
        <f>(0.3*P159)+(0.25*R159)+(0.2*G159)+(0.15*U159)+(0.1*Y159)</f>
        <v>30.35</v>
      </c>
      <c r="AF159" s="150">
        <f>((U159+G159)-V159)*_xlfn.PERCENTRANK.INC($V$2:$V$151,V159)</f>
        <v>1.0943999999999998</v>
      </c>
      <c r="AG159" s="150">
        <f>(0.35*I159)+(0.2*K159)+(0.15*O159)+(0.15+X159)+(0.15+W159)</f>
        <v>2.6149999999999989</v>
      </c>
      <c r="AH159" s="297">
        <f>(AE159*0.4)+(AF159*0.3)+(AG159*0.3)</f>
        <v>13.25282</v>
      </c>
      <c r="AI159" s="3" t="s">
        <v>345</v>
      </c>
    </row>
    <row r="160" spans="1:35" ht="15" thickBot="1" x14ac:dyDescent="0.35">
      <c r="A160" s="2" t="s">
        <v>52</v>
      </c>
      <c r="B160" s="3" t="s">
        <v>334</v>
      </c>
      <c r="C160" s="3" t="s">
        <v>298</v>
      </c>
      <c r="D160" s="3" t="s">
        <v>37</v>
      </c>
      <c r="E160" s="3">
        <v>22</v>
      </c>
      <c r="F160" s="2">
        <v>69.2</v>
      </c>
      <c r="G160" s="212">
        <v>3.8</v>
      </c>
      <c r="H160" s="2">
        <v>2.1</v>
      </c>
      <c r="I160" s="175">
        <v>3.2</v>
      </c>
      <c r="J160" s="79">
        <v>4.5</v>
      </c>
      <c r="K160" s="2">
        <v>-1.4</v>
      </c>
      <c r="L160" s="79">
        <v>120.4</v>
      </c>
      <c r="M160" s="3">
        <f t="shared" si="4"/>
        <v>28.799999999999997</v>
      </c>
      <c r="N160" s="262">
        <v>112.6</v>
      </c>
      <c r="O160" s="3">
        <f>100-(_xlfn.PERCENTRANK.INC($N$2:$N$151,N160)*100)</f>
        <v>9.2999999999999972</v>
      </c>
      <c r="P160" s="200">
        <v>23.8</v>
      </c>
      <c r="Q160" s="2">
        <v>52.4</v>
      </c>
      <c r="R160" s="206">
        <v>58.7</v>
      </c>
      <c r="S160" s="2">
        <v>4.3</v>
      </c>
      <c r="T160" s="2">
        <v>10.199999999999999</v>
      </c>
      <c r="U160" s="2">
        <v>11.2</v>
      </c>
      <c r="V160" s="9">
        <v>11</v>
      </c>
      <c r="W160" s="2">
        <v>0.8</v>
      </c>
      <c r="X160" s="66">
        <v>1.3</v>
      </c>
      <c r="Y160" s="14">
        <v>39.4</v>
      </c>
      <c r="Z160" s="221">
        <v>3.8</v>
      </c>
      <c r="AA160" s="150">
        <v>88</v>
      </c>
      <c r="AB160" s="150">
        <v>49.3</v>
      </c>
      <c r="AC160" s="276">
        <v>9.1999999999999993</v>
      </c>
      <c r="AD160" s="150">
        <v>37.700000000000003</v>
      </c>
      <c r="AE160" s="150">
        <f>(0.3*P160)+(0.25*R160)+(0.2*G160)+(0.15*U160)+(0.1*Y160)</f>
        <v>28.195000000000004</v>
      </c>
      <c r="AF160" s="150">
        <f>((U160+G160)-V160)*_xlfn.PERCENTRANK.INC($V$2:$V$151,V160)</f>
        <v>0.96399999999999997</v>
      </c>
      <c r="AG160" s="150">
        <f>(0.35*I160)+(0.2*K160)+(0.15*O160)+(0.15+X160)+(0.15+W160)</f>
        <v>4.6349999999999998</v>
      </c>
      <c r="AH160" s="297">
        <f>(AE160*0.4)+(AF160*0.3)+(AG160*0.3)</f>
        <v>12.957700000000001</v>
      </c>
      <c r="AI160" s="3" t="s">
        <v>345</v>
      </c>
    </row>
    <row r="161" spans="1:35" ht="15" thickBot="1" x14ac:dyDescent="0.35">
      <c r="A161" s="2" t="s">
        <v>34</v>
      </c>
      <c r="B161" s="3" t="s">
        <v>335</v>
      </c>
      <c r="C161" s="3" t="s">
        <v>127</v>
      </c>
      <c r="D161" s="3" t="s">
        <v>51</v>
      </c>
      <c r="E161" s="3">
        <v>21</v>
      </c>
      <c r="F161" s="2">
        <v>53.3</v>
      </c>
      <c r="G161" s="212">
        <v>3.8</v>
      </c>
      <c r="H161" s="2">
        <v>2.2000000000000002</v>
      </c>
      <c r="I161" s="59">
        <v>6.1</v>
      </c>
      <c r="J161" s="11">
        <v>5.2</v>
      </c>
      <c r="K161" s="2">
        <v>0.9</v>
      </c>
      <c r="L161" s="5">
        <v>155.69999999999999</v>
      </c>
      <c r="M161" s="3">
        <f t="shared" si="4"/>
        <v>99.3</v>
      </c>
      <c r="N161" s="2">
        <v>105.5</v>
      </c>
      <c r="O161" s="3">
        <f>100-(_xlfn.PERCENTRANK.INC($N$2:$N$151,N161)*100)</f>
        <v>28.799999999999997</v>
      </c>
      <c r="P161" s="268">
        <v>10.4</v>
      </c>
      <c r="Q161" s="5">
        <v>77.400000000000006</v>
      </c>
      <c r="R161" s="5">
        <v>77</v>
      </c>
      <c r="S161" s="2">
        <v>4.8</v>
      </c>
      <c r="T161" s="2">
        <v>9.8000000000000007</v>
      </c>
      <c r="U161" s="193">
        <v>5.0999999999999996</v>
      </c>
      <c r="V161" s="82">
        <v>9.4</v>
      </c>
      <c r="W161" s="2">
        <v>0.7</v>
      </c>
      <c r="X161" s="146">
        <v>1.2</v>
      </c>
      <c r="Y161" s="281">
        <v>12.9</v>
      </c>
      <c r="Z161" s="245">
        <v>4.4000000000000004</v>
      </c>
      <c r="AA161" s="150">
        <v>66.7</v>
      </c>
      <c r="AB161" s="150">
        <v>71.399999999999991</v>
      </c>
      <c r="AC161" s="67">
        <v>8.8000000000000007</v>
      </c>
      <c r="AD161" s="150">
        <v>52.800000000000004</v>
      </c>
      <c r="AE161" s="150">
        <f>(0.3*P161)+(0.25*R161)+(0.2*G161)+(0.15*U161)+(0.1*Y161)</f>
        <v>25.185000000000002</v>
      </c>
      <c r="AF161" s="150">
        <f>((U161+G161)-V161)*_xlfn.PERCENTRANK.INC($V$2:$V$151,V161)</f>
        <v>-7.350000000000026E-2</v>
      </c>
      <c r="AG161" s="150">
        <f>(0.35*I161)+(0.2*K161)+(0.15*O161)+(0.15+X161)+(0.15+W161)</f>
        <v>8.8349999999999991</v>
      </c>
      <c r="AH161" s="297">
        <f>(AE161*0.4)+(AF161*0.3)+(AG161*0.3)</f>
        <v>12.702450000000001</v>
      </c>
      <c r="AI161" s="3" t="s">
        <v>345</v>
      </c>
    </row>
    <row r="162" spans="1:35" ht="15" thickBot="1" x14ac:dyDescent="0.35">
      <c r="A162" s="2" t="s">
        <v>52</v>
      </c>
      <c r="B162" s="3" t="s">
        <v>336</v>
      </c>
      <c r="C162" s="3" t="s">
        <v>208</v>
      </c>
      <c r="D162" s="3" t="s">
        <v>75</v>
      </c>
      <c r="E162" s="3">
        <v>21</v>
      </c>
      <c r="F162" s="2">
        <v>77.599999999999994</v>
      </c>
      <c r="G162" s="198">
        <v>4</v>
      </c>
      <c r="H162" s="2">
        <v>2.2999999999999998</v>
      </c>
      <c r="I162" s="180">
        <v>4.3</v>
      </c>
      <c r="J162" s="17">
        <v>5.5</v>
      </c>
      <c r="K162" s="2">
        <v>-1.2</v>
      </c>
      <c r="L162" s="59">
        <v>119.7</v>
      </c>
      <c r="M162" s="3">
        <f t="shared" si="4"/>
        <v>25.5</v>
      </c>
      <c r="N162" s="272">
        <v>113</v>
      </c>
      <c r="O162" s="3">
        <f>100-(_xlfn.PERCENTRANK.INC($N$2:$N$151,N162)*100)</f>
        <v>8.0999999999999943</v>
      </c>
      <c r="P162" s="19">
        <v>24</v>
      </c>
      <c r="Q162" s="223">
        <v>54.4</v>
      </c>
      <c r="R162" s="19">
        <v>57.9</v>
      </c>
      <c r="S162" s="146">
        <v>2.1</v>
      </c>
      <c r="T162" s="162">
        <v>9.1</v>
      </c>
      <c r="U162" s="2">
        <v>11.6</v>
      </c>
      <c r="V162" s="220">
        <v>7.2</v>
      </c>
      <c r="W162" s="152">
        <v>0</v>
      </c>
      <c r="X162" s="2">
        <v>1.5</v>
      </c>
      <c r="Y162" s="14">
        <v>29.5</v>
      </c>
      <c r="Z162" s="295">
        <v>1.4</v>
      </c>
      <c r="AA162" s="150">
        <v>78.600000000000009</v>
      </c>
      <c r="AB162" s="150">
        <v>49.4</v>
      </c>
      <c r="AC162" s="265">
        <v>11.1</v>
      </c>
      <c r="AD162" s="150">
        <v>40.300000000000004</v>
      </c>
      <c r="AE162" s="150">
        <f>(0.3*P162)+(0.25*R162)+(0.2*G162)+(0.15*U162)+(0.1*Y162)</f>
        <v>27.164999999999996</v>
      </c>
      <c r="AF162" s="150">
        <f>((U162+G162)-V162)*_xlfn.PERCENTRANK.INC($V$2:$V$151,V162)</f>
        <v>0.24359999999999998</v>
      </c>
      <c r="AG162" s="150">
        <f>(0.35*I162)+(0.2*K162)+(0.15*O162)+(0.15+X162)+(0.15+W162)</f>
        <v>4.2799999999999994</v>
      </c>
      <c r="AH162" s="297">
        <f>(AE162*0.4)+(AF162*0.3)+(AG162*0.3)</f>
        <v>12.22308</v>
      </c>
      <c r="AI162" s="3" t="s">
        <v>345</v>
      </c>
    </row>
    <row r="163" spans="1:35" ht="15" thickBot="1" x14ac:dyDescent="0.35">
      <c r="A163" s="2" t="s">
        <v>34</v>
      </c>
      <c r="B163" s="3" t="s">
        <v>337</v>
      </c>
      <c r="C163" s="3" t="s">
        <v>317</v>
      </c>
      <c r="D163" s="3" t="s">
        <v>165</v>
      </c>
      <c r="E163" s="3">
        <v>22</v>
      </c>
      <c r="F163" s="2">
        <v>84.8</v>
      </c>
      <c r="G163" s="158">
        <v>4</v>
      </c>
      <c r="H163" s="2">
        <v>2.2000000000000002</v>
      </c>
      <c r="I163" s="72">
        <v>3.8</v>
      </c>
      <c r="J163" s="59">
        <v>4.5</v>
      </c>
      <c r="K163" s="2">
        <v>-0.7</v>
      </c>
      <c r="L163" s="10">
        <v>129.5</v>
      </c>
      <c r="M163" s="3">
        <f t="shared" si="4"/>
        <v>78.5</v>
      </c>
      <c r="N163" s="235">
        <v>115.7</v>
      </c>
      <c r="O163" s="3">
        <f>100-(_xlfn.PERCENTRANK.INC($N$2:$N$151,N163)*100)</f>
        <v>2.7000000000000028</v>
      </c>
      <c r="P163" s="2">
        <v>20</v>
      </c>
      <c r="Q163" s="163">
        <v>54</v>
      </c>
      <c r="R163" s="163">
        <v>57.1</v>
      </c>
      <c r="S163" s="2">
        <v>5.4</v>
      </c>
      <c r="T163" s="183">
        <v>7.4</v>
      </c>
      <c r="U163" s="70">
        <v>18.5</v>
      </c>
      <c r="V163" s="220">
        <v>7.9</v>
      </c>
      <c r="W163" s="162">
        <v>0.3</v>
      </c>
      <c r="X163" s="2">
        <v>1.7</v>
      </c>
      <c r="Y163" s="261">
        <v>21.2</v>
      </c>
      <c r="Z163" s="177">
        <v>1.9</v>
      </c>
      <c r="AA163" s="150">
        <v>82.8</v>
      </c>
      <c r="AB163" s="150">
        <v>50.4</v>
      </c>
      <c r="AC163" s="149">
        <v>12.2</v>
      </c>
      <c r="AD163" s="150">
        <v>37.799999999999997</v>
      </c>
      <c r="AE163" s="150">
        <f>(0.3*P163)+(0.25*R163)+(0.2*G163)+(0.15*U163)+(0.1*Y163)</f>
        <v>25.97</v>
      </c>
      <c r="AF163" s="150">
        <f>((U163+G163)-V163)*_xlfn.PERCENTRANK.INC($V$2:$V$151,V163)</f>
        <v>0.71540000000000004</v>
      </c>
      <c r="AG163" s="150">
        <f>(0.35*I163)+(0.2*K163)+(0.15*O163)+(0.15+X163)+(0.15+W163)</f>
        <v>3.8950000000000005</v>
      </c>
      <c r="AH163" s="297">
        <f>(AE163*0.4)+(AF163*0.3)+(AG163*0.3)</f>
        <v>11.77112</v>
      </c>
      <c r="AI163" s="3" t="s">
        <v>345</v>
      </c>
    </row>
    <row r="164" spans="1:35" ht="15" thickBot="1" x14ac:dyDescent="0.35">
      <c r="A164" s="2" t="s">
        <v>41</v>
      </c>
      <c r="B164" s="3" t="s">
        <v>338</v>
      </c>
      <c r="C164" s="3" t="s">
        <v>339</v>
      </c>
      <c r="D164" s="3" t="s">
        <v>192</v>
      </c>
      <c r="E164" s="3">
        <v>18</v>
      </c>
      <c r="F164" s="2">
        <v>82.6</v>
      </c>
      <c r="G164" s="158">
        <v>3.9</v>
      </c>
      <c r="H164" s="2">
        <v>2.2000000000000002</v>
      </c>
      <c r="I164" s="179">
        <v>2.9</v>
      </c>
      <c r="J164" s="17">
        <v>5.7</v>
      </c>
      <c r="K164" s="186">
        <v>-2.8</v>
      </c>
      <c r="L164" s="17">
        <v>124</v>
      </c>
      <c r="M164" s="3">
        <f t="shared" si="4"/>
        <v>50.3</v>
      </c>
      <c r="N164" s="260">
        <v>114.7</v>
      </c>
      <c r="O164" s="3">
        <f>100-(_xlfn.PERCENTRANK.INC($N$2:$N$151,N164)*100)</f>
        <v>4.6000000000000085</v>
      </c>
      <c r="P164" s="2">
        <v>21.3</v>
      </c>
      <c r="Q164" s="10">
        <v>65.5</v>
      </c>
      <c r="R164" s="10">
        <v>67</v>
      </c>
      <c r="S164" s="193">
        <v>1.2</v>
      </c>
      <c r="T164" s="194">
        <v>8.4</v>
      </c>
      <c r="U164" s="193">
        <v>5</v>
      </c>
      <c r="V164" s="220">
        <v>6.8</v>
      </c>
      <c r="W164" s="2">
        <v>0.8</v>
      </c>
      <c r="X164" s="280">
        <v>0.5</v>
      </c>
      <c r="Y164" s="263">
        <v>19.2</v>
      </c>
      <c r="Z164" s="15">
        <v>1.5</v>
      </c>
      <c r="AA164" s="150">
        <v>78.600000000000009</v>
      </c>
      <c r="AB164" s="150">
        <v>53.800000000000004</v>
      </c>
      <c r="AC164" s="249">
        <v>13.2</v>
      </c>
      <c r="AD164" s="150">
        <v>49.2</v>
      </c>
      <c r="AE164" s="150">
        <f>(0.3*P164)+(0.25*R164)+(0.2*G164)+(0.15*U164)+(0.1*Y164)</f>
        <v>26.590000000000003</v>
      </c>
      <c r="AF164" s="150">
        <f>((U164+G164)-V164)*_xlfn.PERCENTRANK.INC($V$2:$V$151,V164)</f>
        <v>5.0400000000000014E-2</v>
      </c>
      <c r="AG164" s="150">
        <f>(0.35*I164)+(0.2*K164)+(0.15*O164)+(0.15+X164)+(0.15+W164)</f>
        <v>2.7450000000000014</v>
      </c>
      <c r="AH164" s="297">
        <f>(AE164*0.4)+(AF164*0.3)+(AG164*0.3)</f>
        <v>11.474620000000003</v>
      </c>
      <c r="AI164" s="3" t="s">
        <v>345</v>
      </c>
    </row>
    <row r="165" spans="1:35" ht="15" thickBot="1" x14ac:dyDescent="0.35">
      <c r="A165" s="2" t="s">
        <v>48</v>
      </c>
      <c r="B165" s="3" t="s">
        <v>340</v>
      </c>
      <c r="C165" s="3" t="s">
        <v>341</v>
      </c>
      <c r="D165" s="3" t="s">
        <v>303</v>
      </c>
      <c r="E165" s="3">
        <v>19</v>
      </c>
      <c r="F165" s="2">
        <v>74.2</v>
      </c>
      <c r="G165" s="158">
        <v>3.9</v>
      </c>
      <c r="H165" s="2">
        <v>1.9</v>
      </c>
      <c r="I165" s="174">
        <v>2.6</v>
      </c>
      <c r="J165" s="11">
        <v>5.3</v>
      </c>
      <c r="K165" s="193">
        <v>-2.6</v>
      </c>
      <c r="L165" s="63">
        <v>119.1</v>
      </c>
      <c r="M165" s="3">
        <f t="shared" si="4"/>
        <v>22.1</v>
      </c>
      <c r="N165" s="279">
        <v>117.2</v>
      </c>
      <c r="O165" s="3">
        <f>100-(_xlfn.PERCENTRANK.INC($N$2:$N$151,N165)*100)</f>
        <v>1.2999999999999972</v>
      </c>
      <c r="P165" s="223">
        <v>23.6</v>
      </c>
      <c r="Q165" s="124">
        <v>54.1</v>
      </c>
      <c r="R165" s="174">
        <v>57.7</v>
      </c>
      <c r="S165" s="176">
        <v>2</v>
      </c>
      <c r="T165" s="2">
        <v>9.9</v>
      </c>
      <c r="U165" s="2">
        <v>10.8</v>
      </c>
      <c r="V165" s="220">
        <v>6.2</v>
      </c>
      <c r="W165" s="2">
        <v>0.9</v>
      </c>
      <c r="X165" s="280">
        <v>0.5</v>
      </c>
      <c r="Y165" s="203">
        <v>27.5</v>
      </c>
      <c r="Z165" s="296">
        <v>1.1000000000000001</v>
      </c>
      <c r="AA165" s="150">
        <v>81.100000000000009</v>
      </c>
      <c r="AB165" s="150">
        <v>54.500000000000007</v>
      </c>
      <c r="AC165" s="205">
        <v>10.5</v>
      </c>
      <c r="AD165" s="150">
        <v>35.699999999999996</v>
      </c>
      <c r="AE165" s="150">
        <f>(0.3*P165)+(0.25*R165)+(0.2*G165)+(0.15*U165)+(0.1*Y165)</f>
        <v>26.655000000000005</v>
      </c>
      <c r="AF165" s="150">
        <f>((U165+G165)-V165)*_xlfn.PERCENTRANK.INC($V$2:$V$151,V165)</f>
        <v>0.1615</v>
      </c>
      <c r="AG165" s="150">
        <f>(0.35*I165)+(0.2*K165)+(0.15*O165)+(0.15+X165)+(0.15+W165)</f>
        <v>2.2849999999999993</v>
      </c>
      <c r="AH165" s="297">
        <f>(AE165*0.4)+(AF165*0.3)+(AG165*0.3)</f>
        <v>11.395950000000003</v>
      </c>
      <c r="AI165" s="3" t="s">
        <v>345</v>
      </c>
    </row>
    <row r="166" spans="1:35" ht="15" thickBot="1" x14ac:dyDescent="0.35">
      <c r="A166" s="2" t="s">
        <v>41</v>
      </c>
      <c r="B166" s="3" t="s">
        <v>342</v>
      </c>
      <c r="C166" s="3" t="s">
        <v>343</v>
      </c>
      <c r="D166" s="3" t="s">
        <v>344</v>
      </c>
      <c r="E166" s="3">
        <v>21</v>
      </c>
      <c r="F166" s="2">
        <v>89.5</v>
      </c>
      <c r="G166" s="257">
        <v>3.7</v>
      </c>
      <c r="H166" s="294">
        <v>0.9</v>
      </c>
      <c r="I166" s="2">
        <v>-1.3</v>
      </c>
      <c r="J166" s="161">
        <v>2.5</v>
      </c>
      <c r="K166" s="294">
        <v>-3.8</v>
      </c>
      <c r="L166" s="7">
        <v>118</v>
      </c>
      <c r="M166" s="3">
        <f t="shared" si="4"/>
        <v>16.7</v>
      </c>
      <c r="N166" s="269">
        <v>127</v>
      </c>
      <c r="O166" s="3">
        <f>100-(_xlfn.PERCENTRANK.INC($N$2:$N$151,N166)*100)</f>
        <v>0.40000000000000568</v>
      </c>
      <c r="P166" s="200">
        <v>23.8</v>
      </c>
      <c r="Q166" s="2">
        <v>51.1</v>
      </c>
      <c r="R166" s="60">
        <v>56.5</v>
      </c>
      <c r="S166" s="209">
        <v>0.6</v>
      </c>
      <c r="T166" s="244">
        <v>5.8</v>
      </c>
      <c r="U166" s="2">
        <v>13.5</v>
      </c>
      <c r="V166" s="82">
        <v>9.1999999999999993</v>
      </c>
      <c r="W166" s="162">
        <v>0.3</v>
      </c>
      <c r="X166" s="165">
        <v>0.9</v>
      </c>
      <c r="Y166" s="14">
        <v>32.4</v>
      </c>
      <c r="Z166" s="185">
        <v>2.6</v>
      </c>
      <c r="AA166" s="150">
        <v>86.9</v>
      </c>
      <c r="AB166" s="150">
        <v>47.3</v>
      </c>
      <c r="AC166" s="139">
        <v>10.3</v>
      </c>
      <c r="AD166" s="150">
        <v>37.200000000000003</v>
      </c>
      <c r="AE166" s="150">
        <f>(0.3*P166)+(0.25*R166)+(0.2*G166)+(0.15*U166)+(0.1*Y166)</f>
        <v>27.269999999999996</v>
      </c>
      <c r="AF166" s="150">
        <f>((U166+G166)-V166)*_xlfn.PERCENTRANK.INC($V$2:$V$151,V166)</f>
        <v>0.91200000000000003</v>
      </c>
      <c r="AG166" s="150">
        <f>(0.35*I166)+(0.2*K166)+(0.15*O166)+(0.15+X166)+(0.15+W166)</f>
        <v>0.34500000000000108</v>
      </c>
      <c r="AH166" s="297">
        <f>(AE166*0.4)+(AF166*0.3)+(AG166*0.3)</f>
        <v>11.2851</v>
      </c>
      <c r="AI166" s="3" t="s">
        <v>345</v>
      </c>
    </row>
  </sheetData>
  <sortState xmlns:xlrd2="http://schemas.microsoft.com/office/spreadsheetml/2017/richdata2" ref="A2:AH16">
    <sortCondition descending="1" ref="AH1:AH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Ramkumar, Bala</dc:creator>
  <cp:lastModifiedBy>Ramkumar, Bala</cp:lastModifiedBy>
  <dcterms:created xsi:type="dcterms:W3CDTF">2026-02-09T23:10:52Z</dcterms:created>
  <dcterms:modified xsi:type="dcterms:W3CDTF">2026-02-11T00:33:33Z</dcterms:modified>
</cp:coreProperties>
</file>